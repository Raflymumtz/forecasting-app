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fly\Downloads\"/>
    </mc:Choice>
  </mc:AlternateContent>
  <xr:revisionPtr revIDLastSave="0" documentId="13_ncr:1_{C05CB0FB-B12E-489D-AF8A-23F59936E58E}" xr6:coauthVersionLast="47" xr6:coauthVersionMax="47" xr10:uidLastSave="{00000000-0000-0000-0000-000000000000}"/>
  <bookViews>
    <workbookView xWindow="-28920" yWindow="3795" windowWidth="29040" windowHeight="15720" tabRatio="500" activeTab="4" xr2:uid="{00000000-000D-0000-FFFF-FFFF00000000}"/>
  </bookViews>
  <sheets>
    <sheet name="Data Mentah" sheetId="2" r:id="rId1"/>
    <sheet name="Tabel 4.1 Statistik Deskriptif" sheetId="3" r:id="rId2"/>
    <sheet name="Tabel 4.2 Data Identik" sheetId="4" r:id="rId3"/>
    <sheet name="Tabel 4.3 Pembagian Data" sheetId="5" r:id="rId4"/>
    <sheet name="DES_Afolat" sheetId="6" r:id="rId5"/>
    <sheet name="DES_Asam Mefenamat" sheetId="7" r:id="rId6"/>
    <sheet name="DES_Amoxicillin" sheetId="8" r:id="rId7"/>
    <sheet name="DES_Naturoksi" sheetId="9" r:id="rId8"/>
    <sheet name="DES_Gentamicin Injeksi" sheetId="10" r:id="rId9"/>
    <sheet name="DES_Tramadol Injeksi" sheetId="11" r:id="rId10"/>
    <sheet name="DES_Nazovel Suppositoria" sheetId="12" r:id="rId11"/>
    <sheet name="DES_Epexol Syrup" sheetId="13" r:id="rId12"/>
    <sheet name="DES_Apialys Syrup" sheetId="14" r:id="rId13"/>
    <sheet name="Tabel 4.6 Parameter Terbaik" sheetId="15" r:id="rId14"/>
    <sheet name="Tabel 4.7 Obat Data Identik" sheetId="16" r:id="rId15"/>
    <sheet name="Tabel 4.8 Prediksi Periode 106" sheetId="17" r:id="rId16"/>
    <sheet name="Grid Afolat 81 Kombinasi" sheetId="18" r:id="rId17"/>
    <sheet name="Grid 729 Semua Obat" sheetId="19" r:id="rId18"/>
  </sheets>
  <definedNames>
    <definedName name="_xlnm._FilterDatabase" localSheetId="17" hidden="1">'Grid 729 Semua Obat'!$A$4:$H$733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15" l="1"/>
  <c r="E10" i="16" s="1"/>
  <c r="C13" i="15"/>
  <c r="D10" i="16" s="1"/>
  <c r="D12" i="15"/>
  <c r="E11" i="16" s="1"/>
  <c r="C12" i="15"/>
  <c r="D11" i="16" s="1"/>
  <c r="D11" i="15"/>
  <c r="E8" i="16" s="1"/>
  <c r="C11" i="15"/>
  <c r="D8" i="16" s="1"/>
  <c r="D10" i="15"/>
  <c r="E9" i="16" s="1"/>
  <c r="C10" i="15"/>
  <c r="D9" i="16" s="1"/>
  <c r="D9" i="15"/>
  <c r="C9" i="15"/>
  <c r="D8" i="15"/>
  <c r="E6" i="16" s="1"/>
  <c r="C8" i="15"/>
  <c r="D6" i="16" s="1"/>
  <c r="D7" i="15"/>
  <c r="C7" i="15"/>
  <c r="D6" i="15"/>
  <c r="E7" i="16" s="1"/>
  <c r="C6" i="15"/>
  <c r="D7" i="16" s="1"/>
  <c r="D5" i="15"/>
  <c r="E5" i="16" s="1"/>
  <c r="C5" i="15"/>
  <c r="D5" i="16" s="1"/>
  <c r="C113" i="14"/>
  <c r="B113" i="14"/>
  <c r="C112" i="14"/>
  <c r="B112" i="14"/>
  <c r="C111" i="14"/>
  <c r="B111" i="14"/>
  <c r="C110" i="14"/>
  <c r="B110" i="14"/>
  <c r="C109" i="14"/>
  <c r="B109" i="14"/>
  <c r="C108" i="14"/>
  <c r="B108" i="14"/>
  <c r="C107" i="14"/>
  <c r="B107" i="14"/>
  <c r="C106" i="14"/>
  <c r="B106" i="14"/>
  <c r="C105" i="14"/>
  <c r="B105" i="14"/>
  <c r="C104" i="14"/>
  <c r="B104" i="14"/>
  <c r="C103" i="14"/>
  <c r="B103" i="14"/>
  <c r="C102" i="14"/>
  <c r="B102" i="14"/>
  <c r="C101" i="14"/>
  <c r="B101" i="14"/>
  <c r="C100" i="14"/>
  <c r="B100" i="14"/>
  <c r="C99" i="14"/>
  <c r="B99" i="14"/>
  <c r="C98" i="14"/>
  <c r="B98" i="14"/>
  <c r="C97" i="14"/>
  <c r="B97" i="14"/>
  <c r="C96" i="14"/>
  <c r="B96" i="14"/>
  <c r="C95" i="14"/>
  <c r="B95" i="14"/>
  <c r="C94" i="14"/>
  <c r="B94" i="14"/>
  <c r="C93" i="14"/>
  <c r="B93" i="14"/>
  <c r="C92" i="14"/>
  <c r="B92" i="14"/>
  <c r="C91" i="14"/>
  <c r="B91" i="14"/>
  <c r="C90" i="14"/>
  <c r="B90" i="14"/>
  <c r="C89" i="14"/>
  <c r="B89" i="14"/>
  <c r="C88" i="14"/>
  <c r="B88" i="14"/>
  <c r="C87" i="14"/>
  <c r="B87" i="14"/>
  <c r="C86" i="14"/>
  <c r="B86" i="14"/>
  <c r="C85" i="14"/>
  <c r="B85" i="14"/>
  <c r="C84" i="14"/>
  <c r="B84" i="14"/>
  <c r="C83" i="14"/>
  <c r="B83" i="14"/>
  <c r="C82" i="14"/>
  <c r="B82" i="14"/>
  <c r="C81" i="14"/>
  <c r="B81" i="14"/>
  <c r="C80" i="14"/>
  <c r="B80" i="14"/>
  <c r="C79" i="14"/>
  <c r="B79" i="14"/>
  <c r="C78" i="14"/>
  <c r="B78" i="14"/>
  <c r="C77" i="14"/>
  <c r="B77" i="14"/>
  <c r="C76" i="14"/>
  <c r="B76" i="14"/>
  <c r="C75" i="14"/>
  <c r="B75" i="14"/>
  <c r="C74" i="14"/>
  <c r="B74" i="14"/>
  <c r="C73" i="14"/>
  <c r="B73" i="14"/>
  <c r="C72" i="14"/>
  <c r="B72" i="14"/>
  <c r="C71" i="14"/>
  <c r="B71" i="14"/>
  <c r="C70" i="14"/>
  <c r="B70" i="14"/>
  <c r="C69" i="14"/>
  <c r="B69" i="14"/>
  <c r="C68" i="14"/>
  <c r="B68" i="14"/>
  <c r="C67" i="14"/>
  <c r="B67" i="14"/>
  <c r="C66" i="14"/>
  <c r="B66" i="14"/>
  <c r="C65" i="14"/>
  <c r="B65" i="14"/>
  <c r="C64" i="14"/>
  <c r="B64" i="14"/>
  <c r="C63" i="14"/>
  <c r="B63" i="14"/>
  <c r="C62" i="14"/>
  <c r="B62" i="14"/>
  <c r="C61" i="14"/>
  <c r="B61" i="14"/>
  <c r="C60" i="14"/>
  <c r="B60" i="14"/>
  <c r="C59" i="14"/>
  <c r="B59" i="14"/>
  <c r="C58" i="14"/>
  <c r="B58" i="14"/>
  <c r="C57" i="14"/>
  <c r="B57" i="14"/>
  <c r="C56" i="14"/>
  <c r="B56" i="14"/>
  <c r="C55" i="14"/>
  <c r="B55" i="14"/>
  <c r="C54" i="14"/>
  <c r="B54" i="14"/>
  <c r="C53" i="14"/>
  <c r="B53" i="14"/>
  <c r="C52" i="14"/>
  <c r="B52" i="14"/>
  <c r="C51" i="14"/>
  <c r="B51" i="14"/>
  <c r="C50" i="14"/>
  <c r="B50" i="14"/>
  <c r="C49" i="14"/>
  <c r="B49" i="14"/>
  <c r="C48" i="14"/>
  <c r="B48" i="14"/>
  <c r="C47" i="14"/>
  <c r="B47" i="14"/>
  <c r="C46" i="14"/>
  <c r="B46" i="14"/>
  <c r="C45" i="14"/>
  <c r="B45" i="14"/>
  <c r="C44" i="14"/>
  <c r="B44" i="14"/>
  <c r="C43" i="14"/>
  <c r="B43" i="14"/>
  <c r="C42" i="14"/>
  <c r="B42" i="14"/>
  <c r="C41" i="14"/>
  <c r="B41" i="14"/>
  <c r="C40" i="14"/>
  <c r="B40" i="14"/>
  <c r="C39" i="14"/>
  <c r="B39" i="14"/>
  <c r="C38" i="14"/>
  <c r="B38" i="14"/>
  <c r="C37" i="14"/>
  <c r="B37" i="14"/>
  <c r="C36" i="14"/>
  <c r="B36" i="14"/>
  <c r="C35" i="14"/>
  <c r="B35" i="14"/>
  <c r="C34" i="14"/>
  <c r="B34" i="14"/>
  <c r="C33" i="14"/>
  <c r="B33" i="14"/>
  <c r="C32" i="14"/>
  <c r="B32" i="14"/>
  <c r="C31" i="14"/>
  <c r="B31" i="14"/>
  <c r="C30" i="14"/>
  <c r="B30" i="14"/>
  <c r="C29" i="14"/>
  <c r="B29" i="14"/>
  <c r="C28" i="14"/>
  <c r="B28" i="14"/>
  <c r="C27" i="14"/>
  <c r="B27" i="14"/>
  <c r="C26" i="14"/>
  <c r="B26" i="14"/>
  <c r="C25" i="14"/>
  <c r="B25" i="14"/>
  <c r="C24" i="14"/>
  <c r="B24" i="14"/>
  <c r="C23" i="14"/>
  <c r="B23" i="14"/>
  <c r="C22" i="14"/>
  <c r="B22" i="14"/>
  <c r="C21" i="14"/>
  <c r="B21" i="14"/>
  <c r="C20" i="14"/>
  <c r="B20" i="14"/>
  <c r="C19" i="14"/>
  <c r="B19" i="14"/>
  <c r="C18" i="14"/>
  <c r="B18" i="14"/>
  <c r="C17" i="14"/>
  <c r="B17" i="14"/>
  <c r="C16" i="14"/>
  <c r="B16" i="14"/>
  <c r="C15" i="14"/>
  <c r="B15" i="14"/>
  <c r="C14" i="14"/>
  <c r="B14" i="14"/>
  <c r="C13" i="14"/>
  <c r="B13" i="14"/>
  <c r="C12" i="14"/>
  <c r="B12" i="14"/>
  <c r="C11" i="14"/>
  <c r="B11" i="14"/>
  <c r="C10" i="14"/>
  <c r="B10" i="14"/>
  <c r="C9" i="14"/>
  <c r="D9" i="14" s="1"/>
  <c r="B9" i="14"/>
  <c r="E8" i="14"/>
  <c r="C8" i="14"/>
  <c r="B8" i="14"/>
  <c r="B5" i="14"/>
  <c r="D8" i="14" s="1"/>
  <c r="F9" i="14" s="1"/>
  <c r="G9" i="14" s="1"/>
  <c r="C113" i="13"/>
  <c r="B113" i="13"/>
  <c r="C112" i="13"/>
  <c r="B112" i="13"/>
  <c r="C111" i="13"/>
  <c r="B111" i="13"/>
  <c r="C110" i="13"/>
  <c r="B110" i="13"/>
  <c r="C109" i="13"/>
  <c r="B109" i="13"/>
  <c r="C108" i="13"/>
  <c r="B108" i="13"/>
  <c r="C107" i="13"/>
  <c r="B107" i="13"/>
  <c r="C106" i="13"/>
  <c r="B106" i="13"/>
  <c r="C105" i="13"/>
  <c r="B105" i="13"/>
  <c r="C104" i="13"/>
  <c r="B104" i="13"/>
  <c r="C103" i="13"/>
  <c r="B103" i="13"/>
  <c r="C102" i="13"/>
  <c r="B102" i="13"/>
  <c r="C101" i="13"/>
  <c r="B101" i="13"/>
  <c r="C100" i="13"/>
  <c r="B100" i="13"/>
  <c r="C99" i="13"/>
  <c r="B99" i="13"/>
  <c r="C98" i="13"/>
  <c r="B98" i="13"/>
  <c r="C97" i="13"/>
  <c r="B97" i="13"/>
  <c r="C96" i="13"/>
  <c r="B96" i="13"/>
  <c r="C95" i="13"/>
  <c r="B95" i="13"/>
  <c r="C94" i="13"/>
  <c r="B94" i="13"/>
  <c r="C93" i="13"/>
  <c r="B93" i="13"/>
  <c r="C92" i="13"/>
  <c r="B92" i="13"/>
  <c r="C91" i="13"/>
  <c r="B91" i="13"/>
  <c r="C90" i="13"/>
  <c r="B90" i="13"/>
  <c r="C89" i="13"/>
  <c r="B89" i="13"/>
  <c r="C88" i="13"/>
  <c r="B88" i="13"/>
  <c r="C87" i="13"/>
  <c r="B87" i="13"/>
  <c r="C86" i="13"/>
  <c r="B86" i="13"/>
  <c r="C85" i="13"/>
  <c r="B85" i="13"/>
  <c r="C84" i="13"/>
  <c r="B84" i="13"/>
  <c r="C83" i="13"/>
  <c r="B83" i="13"/>
  <c r="C82" i="13"/>
  <c r="B82" i="13"/>
  <c r="C81" i="13"/>
  <c r="B81" i="13"/>
  <c r="C80" i="13"/>
  <c r="B80" i="13"/>
  <c r="C79" i="13"/>
  <c r="B79" i="13"/>
  <c r="C78" i="13"/>
  <c r="B78" i="13"/>
  <c r="C77" i="13"/>
  <c r="B77" i="13"/>
  <c r="C76" i="13"/>
  <c r="B76" i="13"/>
  <c r="C75" i="13"/>
  <c r="B75" i="13"/>
  <c r="C74" i="13"/>
  <c r="B74" i="13"/>
  <c r="C73" i="13"/>
  <c r="B73" i="13"/>
  <c r="C72" i="13"/>
  <c r="B72" i="13"/>
  <c r="C71" i="13"/>
  <c r="B71" i="13"/>
  <c r="C70" i="13"/>
  <c r="B70" i="13"/>
  <c r="C69" i="13"/>
  <c r="B69" i="13"/>
  <c r="C68" i="13"/>
  <c r="B68" i="13"/>
  <c r="C67" i="13"/>
  <c r="B67" i="13"/>
  <c r="C66" i="13"/>
  <c r="B66" i="13"/>
  <c r="C65" i="13"/>
  <c r="B65" i="13"/>
  <c r="C64" i="13"/>
  <c r="B64" i="13"/>
  <c r="C63" i="13"/>
  <c r="B63" i="13"/>
  <c r="C62" i="13"/>
  <c r="B62" i="13"/>
  <c r="C61" i="13"/>
  <c r="B61" i="13"/>
  <c r="C60" i="13"/>
  <c r="B60" i="13"/>
  <c r="C59" i="13"/>
  <c r="B59" i="13"/>
  <c r="C58" i="13"/>
  <c r="B58" i="13"/>
  <c r="C57" i="13"/>
  <c r="B57" i="13"/>
  <c r="C56" i="13"/>
  <c r="B56" i="13"/>
  <c r="C55" i="13"/>
  <c r="B55" i="13"/>
  <c r="C54" i="13"/>
  <c r="B54" i="13"/>
  <c r="C53" i="13"/>
  <c r="B53" i="13"/>
  <c r="C52" i="13"/>
  <c r="B52" i="13"/>
  <c r="C51" i="13"/>
  <c r="B51" i="13"/>
  <c r="C50" i="13"/>
  <c r="B50" i="13"/>
  <c r="C49" i="13"/>
  <c r="B49" i="13"/>
  <c r="C48" i="13"/>
  <c r="B48" i="13"/>
  <c r="C47" i="13"/>
  <c r="B47" i="13"/>
  <c r="C46" i="13"/>
  <c r="B46" i="13"/>
  <c r="C45" i="13"/>
  <c r="B45" i="13"/>
  <c r="C44" i="13"/>
  <c r="B44" i="13"/>
  <c r="C43" i="13"/>
  <c r="B43" i="13"/>
  <c r="C42" i="13"/>
  <c r="B42" i="13"/>
  <c r="C41" i="13"/>
  <c r="B41" i="13"/>
  <c r="C40" i="13"/>
  <c r="B40" i="13"/>
  <c r="C39" i="13"/>
  <c r="B39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C23" i="13"/>
  <c r="B23" i="13"/>
  <c r="C22" i="13"/>
  <c r="B22" i="13"/>
  <c r="C21" i="13"/>
  <c r="B21" i="13"/>
  <c r="C20" i="13"/>
  <c r="B20" i="13"/>
  <c r="C19" i="13"/>
  <c r="B19" i="13"/>
  <c r="C18" i="13"/>
  <c r="B18" i="13"/>
  <c r="C17" i="13"/>
  <c r="B17" i="13"/>
  <c r="C16" i="13"/>
  <c r="B16" i="13"/>
  <c r="C15" i="13"/>
  <c r="B15" i="13"/>
  <c r="C14" i="13"/>
  <c r="B14" i="13"/>
  <c r="C13" i="13"/>
  <c r="B13" i="13"/>
  <c r="C12" i="13"/>
  <c r="B12" i="13"/>
  <c r="C11" i="13"/>
  <c r="B11" i="13"/>
  <c r="C10" i="13"/>
  <c r="B10" i="13"/>
  <c r="C9" i="13"/>
  <c r="B9" i="13"/>
  <c r="E8" i="13"/>
  <c r="C8" i="13"/>
  <c r="B8" i="13"/>
  <c r="B5" i="13"/>
  <c r="D8" i="13" s="1"/>
  <c r="F9" i="13" s="1"/>
  <c r="G9" i="13" s="1"/>
  <c r="C113" i="12"/>
  <c r="B113" i="12"/>
  <c r="C112" i="12"/>
  <c r="B112" i="12"/>
  <c r="C111" i="12"/>
  <c r="B111" i="12"/>
  <c r="C110" i="12"/>
  <c r="B110" i="12"/>
  <c r="C109" i="12"/>
  <c r="B109" i="12"/>
  <c r="C108" i="12"/>
  <c r="B108" i="12"/>
  <c r="C107" i="12"/>
  <c r="B107" i="12"/>
  <c r="C106" i="12"/>
  <c r="B106" i="12"/>
  <c r="C105" i="12"/>
  <c r="B105" i="12"/>
  <c r="C104" i="12"/>
  <c r="B104" i="12"/>
  <c r="C103" i="12"/>
  <c r="B103" i="12"/>
  <c r="C102" i="12"/>
  <c r="B102" i="12"/>
  <c r="C101" i="12"/>
  <c r="B101" i="12"/>
  <c r="C100" i="12"/>
  <c r="B100" i="12"/>
  <c r="C99" i="12"/>
  <c r="B99" i="12"/>
  <c r="C98" i="12"/>
  <c r="B98" i="12"/>
  <c r="C97" i="12"/>
  <c r="B97" i="12"/>
  <c r="C96" i="12"/>
  <c r="B96" i="12"/>
  <c r="C95" i="12"/>
  <c r="B95" i="12"/>
  <c r="C94" i="12"/>
  <c r="B94" i="12"/>
  <c r="C93" i="12"/>
  <c r="B93" i="12"/>
  <c r="C92" i="12"/>
  <c r="B92" i="12"/>
  <c r="C91" i="12"/>
  <c r="B91" i="12"/>
  <c r="C90" i="12"/>
  <c r="B90" i="12"/>
  <c r="C89" i="12"/>
  <c r="B89" i="12"/>
  <c r="C88" i="12"/>
  <c r="B88" i="12"/>
  <c r="C87" i="12"/>
  <c r="B87" i="12"/>
  <c r="C86" i="12"/>
  <c r="B86" i="12"/>
  <c r="C85" i="12"/>
  <c r="B85" i="12"/>
  <c r="C84" i="12"/>
  <c r="B84" i="12"/>
  <c r="C83" i="12"/>
  <c r="B83" i="12"/>
  <c r="C82" i="12"/>
  <c r="B82" i="12"/>
  <c r="C81" i="12"/>
  <c r="B81" i="12"/>
  <c r="C80" i="12"/>
  <c r="B80" i="12"/>
  <c r="C79" i="12"/>
  <c r="B79" i="12"/>
  <c r="C78" i="12"/>
  <c r="B78" i="12"/>
  <c r="C77" i="12"/>
  <c r="B77" i="12"/>
  <c r="C76" i="12"/>
  <c r="B76" i="12"/>
  <c r="C75" i="12"/>
  <c r="B75" i="12"/>
  <c r="C74" i="12"/>
  <c r="B74" i="12"/>
  <c r="C73" i="12"/>
  <c r="B73" i="12"/>
  <c r="C72" i="12"/>
  <c r="B72" i="12"/>
  <c r="C71" i="12"/>
  <c r="B71" i="12"/>
  <c r="C70" i="12"/>
  <c r="B70" i="12"/>
  <c r="C69" i="12"/>
  <c r="B69" i="12"/>
  <c r="C68" i="12"/>
  <c r="B68" i="12"/>
  <c r="C67" i="12"/>
  <c r="B67" i="12"/>
  <c r="C66" i="12"/>
  <c r="B66" i="12"/>
  <c r="C65" i="12"/>
  <c r="B65" i="12"/>
  <c r="C64" i="12"/>
  <c r="B64" i="12"/>
  <c r="C63" i="12"/>
  <c r="B63" i="12"/>
  <c r="C62" i="12"/>
  <c r="B62" i="12"/>
  <c r="C61" i="12"/>
  <c r="B61" i="12"/>
  <c r="C60" i="12"/>
  <c r="B60" i="12"/>
  <c r="C59" i="12"/>
  <c r="B59" i="12"/>
  <c r="C58" i="12"/>
  <c r="B58" i="12"/>
  <c r="C57" i="12"/>
  <c r="B57" i="12"/>
  <c r="C56" i="12"/>
  <c r="B56" i="12"/>
  <c r="C55" i="12"/>
  <c r="B55" i="12"/>
  <c r="C54" i="12"/>
  <c r="B54" i="12"/>
  <c r="C53" i="12"/>
  <c r="B53" i="12"/>
  <c r="C52" i="12"/>
  <c r="B52" i="12"/>
  <c r="C51" i="12"/>
  <c r="B51" i="12"/>
  <c r="C50" i="12"/>
  <c r="B50" i="12"/>
  <c r="C49" i="12"/>
  <c r="B49" i="12"/>
  <c r="C48" i="12"/>
  <c r="B48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9" i="12"/>
  <c r="B39" i="12"/>
  <c r="C38" i="12"/>
  <c r="B38" i="12"/>
  <c r="C37" i="12"/>
  <c r="B37" i="12"/>
  <c r="C36" i="12"/>
  <c r="B36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F9" i="12"/>
  <c r="G9" i="12" s="1"/>
  <c r="C9" i="12"/>
  <c r="B9" i="12"/>
  <c r="E8" i="12"/>
  <c r="C8" i="12"/>
  <c r="B8" i="12"/>
  <c r="B5" i="12"/>
  <c r="D8" i="12" s="1"/>
  <c r="C113" i="11"/>
  <c r="B113" i="11"/>
  <c r="C112" i="11"/>
  <c r="B112" i="11"/>
  <c r="C111" i="11"/>
  <c r="B111" i="11"/>
  <c r="C110" i="11"/>
  <c r="B110" i="11"/>
  <c r="C109" i="11"/>
  <c r="B109" i="11"/>
  <c r="C108" i="11"/>
  <c r="B108" i="11"/>
  <c r="C107" i="11"/>
  <c r="B107" i="11"/>
  <c r="C106" i="11"/>
  <c r="B106" i="11"/>
  <c r="C105" i="11"/>
  <c r="B105" i="11"/>
  <c r="C104" i="11"/>
  <c r="B104" i="11"/>
  <c r="C103" i="11"/>
  <c r="B103" i="11"/>
  <c r="C102" i="11"/>
  <c r="B102" i="11"/>
  <c r="C101" i="11"/>
  <c r="B101" i="11"/>
  <c r="C100" i="11"/>
  <c r="B100" i="11"/>
  <c r="C99" i="11"/>
  <c r="B99" i="11"/>
  <c r="C98" i="11"/>
  <c r="B98" i="11"/>
  <c r="C97" i="11"/>
  <c r="B97" i="11"/>
  <c r="C96" i="11"/>
  <c r="B96" i="11"/>
  <c r="C95" i="11"/>
  <c r="B95" i="11"/>
  <c r="C94" i="11"/>
  <c r="B94" i="11"/>
  <c r="C93" i="11"/>
  <c r="B93" i="11"/>
  <c r="C92" i="11"/>
  <c r="B92" i="11"/>
  <c r="C91" i="11"/>
  <c r="B91" i="11"/>
  <c r="C90" i="11"/>
  <c r="B90" i="11"/>
  <c r="C89" i="11"/>
  <c r="B89" i="11"/>
  <c r="C88" i="11"/>
  <c r="B88" i="11"/>
  <c r="C87" i="11"/>
  <c r="B87" i="11"/>
  <c r="C86" i="11"/>
  <c r="B86" i="11"/>
  <c r="C85" i="11"/>
  <c r="B85" i="11"/>
  <c r="C84" i="11"/>
  <c r="B84" i="11"/>
  <c r="C83" i="11"/>
  <c r="B83" i="11"/>
  <c r="C82" i="11"/>
  <c r="B82" i="11"/>
  <c r="C81" i="11"/>
  <c r="B81" i="11"/>
  <c r="C80" i="11"/>
  <c r="B80" i="11"/>
  <c r="C79" i="11"/>
  <c r="B79" i="11"/>
  <c r="C78" i="11"/>
  <c r="B78" i="11"/>
  <c r="C77" i="11"/>
  <c r="B77" i="11"/>
  <c r="C76" i="11"/>
  <c r="B76" i="11"/>
  <c r="C75" i="11"/>
  <c r="B75" i="11"/>
  <c r="C74" i="11"/>
  <c r="B74" i="11"/>
  <c r="C73" i="11"/>
  <c r="B73" i="11"/>
  <c r="C72" i="11"/>
  <c r="B72" i="11"/>
  <c r="C71" i="11"/>
  <c r="B71" i="11"/>
  <c r="C70" i="11"/>
  <c r="B70" i="11"/>
  <c r="C69" i="11"/>
  <c r="B69" i="11"/>
  <c r="C68" i="11"/>
  <c r="B68" i="11"/>
  <c r="C67" i="11"/>
  <c r="B67" i="11"/>
  <c r="C66" i="11"/>
  <c r="B66" i="11"/>
  <c r="C65" i="11"/>
  <c r="B65" i="11"/>
  <c r="C64" i="11"/>
  <c r="B64" i="11"/>
  <c r="C63" i="11"/>
  <c r="B63" i="11"/>
  <c r="C62" i="11"/>
  <c r="B62" i="11"/>
  <c r="C61" i="11"/>
  <c r="B61" i="11"/>
  <c r="C60" i="11"/>
  <c r="B60" i="11"/>
  <c r="C59" i="11"/>
  <c r="B59" i="11"/>
  <c r="C58" i="11"/>
  <c r="B58" i="11"/>
  <c r="C57" i="11"/>
  <c r="B57" i="11"/>
  <c r="C56" i="11"/>
  <c r="B56" i="11"/>
  <c r="C55" i="11"/>
  <c r="B55" i="11"/>
  <c r="C54" i="11"/>
  <c r="B54" i="11"/>
  <c r="C53" i="11"/>
  <c r="B53" i="11"/>
  <c r="C52" i="11"/>
  <c r="B52" i="11"/>
  <c r="C51" i="11"/>
  <c r="B51" i="11"/>
  <c r="C50" i="11"/>
  <c r="B50" i="11"/>
  <c r="C49" i="11"/>
  <c r="B49" i="11"/>
  <c r="C48" i="11"/>
  <c r="B48" i="11"/>
  <c r="C47" i="11"/>
  <c r="B47" i="11"/>
  <c r="C46" i="11"/>
  <c r="B46" i="11"/>
  <c r="C45" i="11"/>
  <c r="B45" i="11"/>
  <c r="C44" i="11"/>
  <c r="B44" i="11"/>
  <c r="C43" i="11"/>
  <c r="B43" i="11"/>
  <c r="C42" i="11"/>
  <c r="B42" i="11"/>
  <c r="C41" i="11"/>
  <c r="B41" i="11"/>
  <c r="C40" i="11"/>
  <c r="B40" i="11"/>
  <c r="C39" i="11"/>
  <c r="B39" i="11"/>
  <c r="C38" i="11"/>
  <c r="B38" i="11"/>
  <c r="C37" i="11"/>
  <c r="B37" i="11"/>
  <c r="C36" i="11"/>
  <c r="B36" i="11"/>
  <c r="C35" i="11"/>
  <c r="B35" i="11"/>
  <c r="C34" i="11"/>
  <c r="B34" i="11"/>
  <c r="C33" i="11"/>
  <c r="B33" i="11"/>
  <c r="C32" i="11"/>
  <c r="B32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G9" i="11"/>
  <c r="F9" i="11"/>
  <c r="C9" i="11"/>
  <c r="B9" i="11"/>
  <c r="E8" i="11"/>
  <c r="C8" i="11"/>
  <c r="B8" i="11"/>
  <c r="B5" i="11"/>
  <c r="D8" i="11" s="1"/>
  <c r="D9" i="11" s="1"/>
  <c r="C113" i="10"/>
  <c r="B113" i="10"/>
  <c r="C112" i="10"/>
  <c r="B112" i="10"/>
  <c r="C111" i="10"/>
  <c r="B111" i="10"/>
  <c r="C110" i="10"/>
  <c r="B110" i="10"/>
  <c r="C109" i="10"/>
  <c r="B109" i="10"/>
  <c r="C108" i="10"/>
  <c r="B108" i="10"/>
  <c r="C107" i="10"/>
  <c r="B107" i="10"/>
  <c r="C106" i="10"/>
  <c r="B106" i="10"/>
  <c r="C105" i="10"/>
  <c r="B105" i="10"/>
  <c r="C104" i="10"/>
  <c r="B104" i="10"/>
  <c r="C103" i="10"/>
  <c r="B103" i="10"/>
  <c r="C102" i="10"/>
  <c r="B102" i="10"/>
  <c r="C101" i="10"/>
  <c r="B101" i="10"/>
  <c r="C100" i="10"/>
  <c r="B100" i="10"/>
  <c r="C99" i="10"/>
  <c r="B99" i="10"/>
  <c r="C98" i="10"/>
  <c r="B98" i="10"/>
  <c r="C97" i="10"/>
  <c r="B97" i="10"/>
  <c r="C96" i="10"/>
  <c r="B96" i="10"/>
  <c r="C95" i="10"/>
  <c r="B95" i="10"/>
  <c r="C94" i="10"/>
  <c r="B94" i="10"/>
  <c r="C93" i="10"/>
  <c r="B93" i="10"/>
  <c r="C92" i="10"/>
  <c r="B92" i="10"/>
  <c r="C91" i="10"/>
  <c r="B91" i="10"/>
  <c r="C90" i="10"/>
  <c r="B90" i="10"/>
  <c r="C89" i="10"/>
  <c r="B89" i="10"/>
  <c r="C88" i="10"/>
  <c r="B88" i="10"/>
  <c r="C87" i="10"/>
  <c r="B87" i="10"/>
  <c r="C86" i="10"/>
  <c r="B86" i="10"/>
  <c r="C85" i="10"/>
  <c r="B85" i="10"/>
  <c r="C84" i="10"/>
  <c r="B84" i="10"/>
  <c r="C83" i="10"/>
  <c r="B83" i="10"/>
  <c r="C82" i="10"/>
  <c r="B82" i="10"/>
  <c r="C81" i="10"/>
  <c r="B81" i="10"/>
  <c r="C80" i="10"/>
  <c r="B80" i="10"/>
  <c r="C79" i="10"/>
  <c r="B79" i="10"/>
  <c r="C78" i="10"/>
  <c r="B78" i="10"/>
  <c r="C77" i="10"/>
  <c r="B77" i="10"/>
  <c r="C76" i="10"/>
  <c r="B76" i="10"/>
  <c r="C75" i="10"/>
  <c r="B75" i="10"/>
  <c r="C74" i="10"/>
  <c r="B74" i="10"/>
  <c r="C73" i="10"/>
  <c r="B73" i="10"/>
  <c r="C72" i="10"/>
  <c r="B72" i="10"/>
  <c r="C71" i="10"/>
  <c r="B71" i="10"/>
  <c r="C70" i="10"/>
  <c r="B70" i="10"/>
  <c r="C69" i="10"/>
  <c r="B69" i="10"/>
  <c r="C68" i="10"/>
  <c r="B68" i="10"/>
  <c r="C67" i="10"/>
  <c r="B67" i="10"/>
  <c r="C66" i="10"/>
  <c r="B66" i="10"/>
  <c r="C65" i="10"/>
  <c r="B65" i="10"/>
  <c r="C64" i="10"/>
  <c r="B64" i="10"/>
  <c r="C63" i="10"/>
  <c r="B63" i="10"/>
  <c r="C62" i="10"/>
  <c r="B62" i="10"/>
  <c r="C61" i="10"/>
  <c r="B61" i="10"/>
  <c r="C60" i="10"/>
  <c r="B60" i="10"/>
  <c r="C59" i="10"/>
  <c r="B59" i="10"/>
  <c r="C58" i="10"/>
  <c r="B58" i="10"/>
  <c r="C57" i="10"/>
  <c r="B57" i="10"/>
  <c r="C56" i="10"/>
  <c r="B56" i="10"/>
  <c r="C55" i="10"/>
  <c r="B55" i="10"/>
  <c r="C54" i="10"/>
  <c r="B54" i="10"/>
  <c r="C53" i="10"/>
  <c r="B53" i="10"/>
  <c r="C52" i="10"/>
  <c r="B52" i="10"/>
  <c r="C51" i="10"/>
  <c r="B51" i="10"/>
  <c r="C50" i="10"/>
  <c r="B50" i="10"/>
  <c r="C49" i="10"/>
  <c r="B49" i="10"/>
  <c r="C48" i="10"/>
  <c r="B48" i="10"/>
  <c r="C47" i="10"/>
  <c r="B47" i="10"/>
  <c r="C46" i="10"/>
  <c r="B46" i="10"/>
  <c r="C45" i="10"/>
  <c r="B45" i="10"/>
  <c r="C44" i="10"/>
  <c r="B44" i="10"/>
  <c r="C43" i="10"/>
  <c r="B43" i="10"/>
  <c r="C42" i="10"/>
  <c r="B42" i="10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E8" i="10"/>
  <c r="C8" i="10"/>
  <c r="B8" i="10"/>
  <c r="B5" i="10"/>
  <c r="D8" i="10" s="1"/>
  <c r="D9" i="10" s="1"/>
  <c r="C113" i="9"/>
  <c r="B113" i="9"/>
  <c r="C112" i="9"/>
  <c r="B112" i="9"/>
  <c r="C111" i="9"/>
  <c r="B111" i="9"/>
  <c r="C110" i="9"/>
  <c r="B110" i="9"/>
  <c r="C109" i="9"/>
  <c r="B109" i="9"/>
  <c r="C108" i="9"/>
  <c r="B108" i="9"/>
  <c r="C107" i="9"/>
  <c r="B107" i="9"/>
  <c r="C106" i="9"/>
  <c r="B106" i="9"/>
  <c r="C105" i="9"/>
  <c r="B105" i="9"/>
  <c r="C104" i="9"/>
  <c r="B104" i="9"/>
  <c r="C103" i="9"/>
  <c r="B103" i="9"/>
  <c r="C102" i="9"/>
  <c r="B102" i="9"/>
  <c r="C101" i="9"/>
  <c r="B101" i="9"/>
  <c r="C100" i="9"/>
  <c r="B100" i="9"/>
  <c r="C99" i="9"/>
  <c r="B99" i="9"/>
  <c r="C98" i="9"/>
  <c r="B98" i="9"/>
  <c r="C97" i="9"/>
  <c r="B97" i="9"/>
  <c r="C96" i="9"/>
  <c r="B96" i="9"/>
  <c r="C95" i="9"/>
  <c r="B95" i="9"/>
  <c r="C94" i="9"/>
  <c r="B94" i="9"/>
  <c r="C93" i="9"/>
  <c r="B93" i="9"/>
  <c r="C92" i="9"/>
  <c r="B92" i="9"/>
  <c r="C91" i="9"/>
  <c r="B91" i="9"/>
  <c r="C90" i="9"/>
  <c r="B90" i="9"/>
  <c r="C89" i="9"/>
  <c r="B89" i="9"/>
  <c r="C88" i="9"/>
  <c r="B88" i="9"/>
  <c r="C87" i="9"/>
  <c r="B87" i="9"/>
  <c r="C86" i="9"/>
  <c r="B86" i="9"/>
  <c r="C85" i="9"/>
  <c r="B85" i="9"/>
  <c r="C84" i="9"/>
  <c r="B84" i="9"/>
  <c r="C83" i="9"/>
  <c r="B83" i="9"/>
  <c r="C82" i="9"/>
  <c r="B82" i="9"/>
  <c r="C81" i="9"/>
  <c r="B81" i="9"/>
  <c r="C80" i="9"/>
  <c r="B80" i="9"/>
  <c r="C79" i="9"/>
  <c r="B79" i="9"/>
  <c r="C78" i="9"/>
  <c r="B78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C69" i="9"/>
  <c r="B69" i="9"/>
  <c r="C68" i="9"/>
  <c r="B68" i="9"/>
  <c r="C67" i="9"/>
  <c r="B67" i="9"/>
  <c r="C66" i="9"/>
  <c r="B66" i="9"/>
  <c r="C65" i="9"/>
  <c r="B65" i="9"/>
  <c r="C64" i="9"/>
  <c r="B64" i="9"/>
  <c r="C63" i="9"/>
  <c r="B63" i="9"/>
  <c r="C62" i="9"/>
  <c r="B62" i="9"/>
  <c r="C61" i="9"/>
  <c r="B61" i="9"/>
  <c r="C60" i="9"/>
  <c r="B60" i="9"/>
  <c r="C59" i="9"/>
  <c r="B59" i="9"/>
  <c r="C58" i="9"/>
  <c r="B58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E8" i="9"/>
  <c r="C8" i="9"/>
  <c r="B8" i="9"/>
  <c r="B5" i="9"/>
  <c r="D8" i="9" s="1"/>
  <c r="C113" i="8"/>
  <c r="B113" i="8"/>
  <c r="C112" i="8"/>
  <c r="B112" i="8"/>
  <c r="C111" i="8"/>
  <c r="B111" i="8"/>
  <c r="C110" i="8"/>
  <c r="B110" i="8"/>
  <c r="C109" i="8"/>
  <c r="B109" i="8"/>
  <c r="C108" i="8"/>
  <c r="B108" i="8"/>
  <c r="C107" i="8"/>
  <c r="B107" i="8"/>
  <c r="C106" i="8"/>
  <c r="B106" i="8"/>
  <c r="C105" i="8"/>
  <c r="B105" i="8"/>
  <c r="C104" i="8"/>
  <c r="B104" i="8"/>
  <c r="C103" i="8"/>
  <c r="B103" i="8"/>
  <c r="C102" i="8"/>
  <c r="B102" i="8"/>
  <c r="C101" i="8"/>
  <c r="B101" i="8"/>
  <c r="C100" i="8"/>
  <c r="B100" i="8"/>
  <c r="C99" i="8"/>
  <c r="B99" i="8"/>
  <c r="C98" i="8"/>
  <c r="B98" i="8"/>
  <c r="C97" i="8"/>
  <c r="B97" i="8"/>
  <c r="C96" i="8"/>
  <c r="B96" i="8"/>
  <c r="C95" i="8"/>
  <c r="B95" i="8"/>
  <c r="C94" i="8"/>
  <c r="B94" i="8"/>
  <c r="C93" i="8"/>
  <c r="B93" i="8"/>
  <c r="C92" i="8"/>
  <c r="B92" i="8"/>
  <c r="C91" i="8"/>
  <c r="B91" i="8"/>
  <c r="C90" i="8"/>
  <c r="B90" i="8"/>
  <c r="C89" i="8"/>
  <c r="B89" i="8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C81" i="8"/>
  <c r="B81" i="8"/>
  <c r="C80" i="8"/>
  <c r="B80" i="8"/>
  <c r="C79" i="8"/>
  <c r="B79" i="8"/>
  <c r="C78" i="8"/>
  <c r="B78" i="8"/>
  <c r="C77" i="8"/>
  <c r="B77" i="8"/>
  <c r="C76" i="8"/>
  <c r="B76" i="8"/>
  <c r="C75" i="8"/>
  <c r="B75" i="8"/>
  <c r="C74" i="8"/>
  <c r="B74" i="8"/>
  <c r="C73" i="8"/>
  <c r="B73" i="8"/>
  <c r="C72" i="8"/>
  <c r="B72" i="8"/>
  <c r="C71" i="8"/>
  <c r="B71" i="8"/>
  <c r="C70" i="8"/>
  <c r="B70" i="8"/>
  <c r="C69" i="8"/>
  <c r="B69" i="8"/>
  <c r="C68" i="8"/>
  <c r="B68" i="8"/>
  <c r="C67" i="8"/>
  <c r="B67" i="8"/>
  <c r="C66" i="8"/>
  <c r="B66" i="8"/>
  <c r="C65" i="8"/>
  <c r="B65" i="8"/>
  <c r="C64" i="8"/>
  <c r="B64" i="8"/>
  <c r="C63" i="8"/>
  <c r="B63" i="8"/>
  <c r="C62" i="8"/>
  <c r="B62" i="8"/>
  <c r="C61" i="8"/>
  <c r="B61" i="8"/>
  <c r="C60" i="8"/>
  <c r="B60" i="8"/>
  <c r="C59" i="8"/>
  <c r="B59" i="8"/>
  <c r="C58" i="8"/>
  <c r="B58" i="8"/>
  <c r="C57" i="8"/>
  <c r="B57" i="8"/>
  <c r="C56" i="8"/>
  <c r="B56" i="8"/>
  <c r="C55" i="8"/>
  <c r="B55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E8" i="8"/>
  <c r="C8" i="8"/>
  <c r="B8" i="8"/>
  <c r="B5" i="8"/>
  <c r="D8" i="8" s="1"/>
  <c r="F9" i="8" s="1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E8" i="7"/>
  <c r="C8" i="7"/>
  <c r="B8" i="7"/>
  <c r="B5" i="7"/>
  <c r="D8" i="7" s="1"/>
  <c r="D121" i="6"/>
  <c r="C5" i="17" s="1"/>
  <c r="C113" i="6"/>
  <c r="B113" i="6"/>
  <c r="C112" i="6"/>
  <c r="B112" i="6"/>
  <c r="C111" i="6"/>
  <c r="B111" i="6"/>
  <c r="C110" i="6"/>
  <c r="B110" i="6"/>
  <c r="C109" i="6"/>
  <c r="B109" i="6"/>
  <c r="C108" i="6"/>
  <c r="B108" i="6"/>
  <c r="C107" i="6"/>
  <c r="B107" i="6"/>
  <c r="C106" i="6"/>
  <c r="B106" i="6"/>
  <c r="C105" i="6"/>
  <c r="B105" i="6"/>
  <c r="C104" i="6"/>
  <c r="B104" i="6"/>
  <c r="C103" i="6"/>
  <c r="B103" i="6"/>
  <c r="C102" i="6"/>
  <c r="B102" i="6"/>
  <c r="C101" i="6"/>
  <c r="B101" i="6"/>
  <c r="C100" i="6"/>
  <c r="B100" i="6"/>
  <c r="C99" i="6"/>
  <c r="B99" i="6"/>
  <c r="C98" i="6"/>
  <c r="B98" i="6"/>
  <c r="C97" i="6"/>
  <c r="B97" i="6"/>
  <c r="C96" i="6"/>
  <c r="B96" i="6"/>
  <c r="C95" i="6"/>
  <c r="B95" i="6"/>
  <c r="C94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F9" i="6"/>
  <c r="G9" i="6" s="1"/>
  <c r="E9" i="6"/>
  <c r="F10" i="6" s="1"/>
  <c r="D9" i="6"/>
  <c r="C9" i="6"/>
  <c r="B9" i="6"/>
  <c r="E8" i="6"/>
  <c r="D8" i="6"/>
  <c r="C8" i="6"/>
  <c r="B8" i="6"/>
  <c r="B5" i="6"/>
  <c r="E5" i="5"/>
  <c r="D5" i="5"/>
  <c r="E4" i="5"/>
  <c r="E6" i="5" s="1"/>
  <c r="D4" i="5"/>
  <c r="D11" i="4"/>
  <c r="E11" i="4" s="1"/>
  <c r="E10" i="4"/>
  <c r="D10" i="4"/>
  <c r="E9" i="4"/>
  <c r="D9" i="4"/>
  <c r="E8" i="4"/>
  <c r="D8" i="4"/>
  <c r="D7" i="4"/>
  <c r="E7" i="4" s="1"/>
  <c r="D6" i="4"/>
  <c r="E6" i="4" s="1"/>
  <c r="E5" i="4"/>
  <c r="D5" i="4"/>
  <c r="G20" i="3"/>
  <c r="F20" i="3"/>
  <c r="E20" i="3"/>
  <c r="D20" i="3"/>
  <c r="C20" i="3"/>
  <c r="G19" i="3"/>
  <c r="F19" i="3"/>
  <c r="E19" i="3"/>
  <c r="D19" i="3"/>
  <c r="C19" i="3"/>
  <c r="G18" i="3"/>
  <c r="F18" i="3"/>
  <c r="E18" i="3"/>
  <c r="D18" i="3"/>
  <c r="C18" i="3"/>
  <c r="G17" i="3"/>
  <c r="F17" i="3"/>
  <c r="E17" i="3"/>
  <c r="D17" i="3"/>
  <c r="C17" i="3"/>
  <c r="G16" i="3"/>
  <c r="F16" i="3"/>
  <c r="E16" i="3"/>
  <c r="D16" i="3"/>
  <c r="C16" i="3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I9" i="6" l="1"/>
  <c r="H9" i="6"/>
  <c r="J9" i="6"/>
  <c r="F9" i="7"/>
  <c r="D9" i="7"/>
  <c r="G10" i="6"/>
  <c r="D10" i="6"/>
  <c r="G9" i="7"/>
  <c r="D121" i="7"/>
  <c r="C8" i="17" s="1"/>
  <c r="F9" i="9"/>
  <c r="G9" i="9" s="1"/>
  <c r="D9" i="9"/>
  <c r="D121" i="8"/>
  <c r="C6" i="17" s="1"/>
  <c r="G9" i="8"/>
  <c r="D9" i="8"/>
  <c r="D121" i="9"/>
  <c r="C11" i="17" s="1"/>
  <c r="E9" i="10"/>
  <c r="D10" i="10" s="1"/>
  <c r="I9" i="12"/>
  <c r="H9" i="12"/>
  <c r="J9" i="12"/>
  <c r="F9" i="10"/>
  <c r="G9" i="10" s="1"/>
  <c r="J9" i="11"/>
  <c r="I9" i="11"/>
  <c r="H9" i="11"/>
  <c r="D121" i="10"/>
  <c r="C10" i="17" s="1"/>
  <c r="E9" i="11"/>
  <c r="D10" i="11" s="1"/>
  <c r="F10" i="11"/>
  <c r="G10" i="11" s="1"/>
  <c r="D121" i="11"/>
  <c r="C13" i="17" s="1"/>
  <c r="J9" i="13"/>
  <c r="I9" i="13"/>
  <c r="H9" i="13"/>
  <c r="E9" i="14"/>
  <c r="F10" i="14" s="1"/>
  <c r="G10" i="14" s="1"/>
  <c r="D121" i="13"/>
  <c r="C9" i="17" s="1"/>
  <c r="D121" i="14"/>
  <c r="C7" i="17" s="1"/>
  <c r="D9" i="13"/>
  <c r="D9" i="12"/>
  <c r="D121" i="12"/>
  <c r="C12" i="17" s="1"/>
  <c r="J9" i="14"/>
  <c r="I9" i="14"/>
  <c r="H9" i="14"/>
  <c r="I10" i="14" l="1"/>
  <c r="H10" i="14"/>
  <c r="J10" i="14"/>
  <c r="J9" i="9"/>
  <c r="I9" i="9"/>
  <c r="H9" i="9"/>
  <c r="E10" i="11"/>
  <c r="F11" i="11" s="1"/>
  <c r="G11" i="11" s="1"/>
  <c r="D11" i="11"/>
  <c r="D10" i="14"/>
  <c r="J9" i="10"/>
  <c r="I9" i="10"/>
  <c r="H9" i="10"/>
  <c r="E9" i="9"/>
  <c r="D10" i="9" s="1"/>
  <c r="F10" i="10"/>
  <c r="G10" i="10" s="1"/>
  <c r="I9" i="7"/>
  <c r="H9" i="7"/>
  <c r="J9" i="7"/>
  <c r="E10" i="6"/>
  <c r="D11" i="6" s="1"/>
  <c r="E10" i="10"/>
  <c r="F11" i="10" s="1"/>
  <c r="G11" i="10" s="1"/>
  <c r="I10" i="11"/>
  <c r="J10" i="11"/>
  <c r="H10" i="11"/>
  <c r="E9" i="7"/>
  <c r="D10" i="7" s="1"/>
  <c r="F10" i="7"/>
  <c r="G10" i="7" s="1"/>
  <c r="E9" i="12"/>
  <c r="D10" i="12" s="1"/>
  <c r="H10" i="6"/>
  <c r="J10" i="6"/>
  <c r="I10" i="6"/>
  <c r="E9" i="8"/>
  <c r="F10" i="8" s="1"/>
  <c r="G10" i="8" s="1"/>
  <c r="J9" i="8"/>
  <c r="I9" i="8"/>
  <c r="H9" i="8"/>
  <c r="E9" i="13"/>
  <c r="F10" i="13" s="1"/>
  <c r="G10" i="13" s="1"/>
  <c r="J10" i="8" l="1"/>
  <c r="I10" i="8"/>
  <c r="H10" i="8"/>
  <c r="E11" i="6"/>
  <c r="F12" i="6" s="1"/>
  <c r="G12" i="6" s="1"/>
  <c r="E10" i="12"/>
  <c r="F11" i="12" s="1"/>
  <c r="G11" i="12" s="1"/>
  <c r="D11" i="12"/>
  <c r="I11" i="10"/>
  <c r="H11" i="10"/>
  <c r="J11" i="10"/>
  <c r="H11" i="11"/>
  <c r="J11" i="11"/>
  <c r="I11" i="11"/>
  <c r="I10" i="13"/>
  <c r="H10" i="13"/>
  <c r="J10" i="13"/>
  <c r="D11" i="10"/>
  <c r="F11" i="6"/>
  <c r="G11" i="6" s="1"/>
  <c r="D11" i="7"/>
  <c r="E10" i="7"/>
  <c r="F11" i="7" s="1"/>
  <c r="G11" i="7" s="1"/>
  <c r="F10" i="12"/>
  <c r="G10" i="12" s="1"/>
  <c r="E10" i="9"/>
  <c r="F11" i="9" s="1"/>
  <c r="G11" i="9" s="1"/>
  <c r="D11" i="9"/>
  <c r="D10" i="13"/>
  <c r="H10" i="7"/>
  <c r="J10" i="7"/>
  <c r="I10" i="7"/>
  <c r="F10" i="9"/>
  <c r="G10" i="9" s="1"/>
  <c r="E10" i="14"/>
  <c r="F11" i="14"/>
  <c r="G11" i="14" s="1"/>
  <c r="D11" i="14"/>
  <c r="D10" i="8"/>
  <c r="J10" i="10"/>
  <c r="I10" i="10"/>
  <c r="H10" i="10"/>
  <c r="E11" i="11"/>
  <c r="F12" i="11"/>
  <c r="G12" i="11" s="1"/>
  <c r="D12" i="11"/>
  <c r="H11" i="9" l="1"/>
  <c r="J11" i="9"/>
  <c r="I11" i="9"/>
  <c r="J11" i="7"/>
  <c r="I11" i="7"/>
  <c r="H11" i="7"/>
  <c r="H11" i="12"/>
  <c r="I11" i="12"/>
  <c r="J11" i="12"/>
  <c r="H12" i="6"/>
  <c r="J12" i="6"/>
  <c r="I12" i="6"/>
  <c r="E11" i="9"/>
  <c r="F12" i="9" s="1"/>
  <c r="G12" i="9" s="1"/>
  <c r="D12" i="9"/>
  <c r="E10" i="13"/>
  <c r="F11" i="13" s="1"/>
  <c r="G11" i="13" s="1"/>
  <c r="D11" i="13"/>
  <c r="J11" i="6"/>
  <c r="I11" i="6"/>
  <c r="H11" i="6"/>
  <c r="E12" i="11"/>
  <c r="D13" i="11" s="1"/>
  <c r="E11" i="7"/>
  <c r="F12" i="7" s="1"/>
  <c r="G12" i="7" s="1"/>
  <c r="D12" i="7"/>
  <c r="E11" i="12"/>
  <c r="F12" i="12" s="1"/>
  <c r="G12" i="12" s="1"/>
  <c r="J10" i="12"/>
  <c r="I10" i="12"/>
  <c r="H10" i="12"/>
  <c r="E11" i="10"/>
  <c r="F12" i="10" s="1"/>
  <c r="G12" i="10" s="1"/>
  <c r="D12" i="10"/>
  <c r="D12" i="6"/>
  <c r="J10" i="9"/>
  <c r="I10" i="9"/>
  <c r="H10" i="9"/>
  <c r="J12" i="11"/>
  <c r="I12" i="11"/>
  <c r="H12" i="11"/>
  <c r="E10" i="8"/>
  <c r="F11" i="8" s="1"/>
  <c r="G11" i="8" s="1"/>
  <c r="D11" i="8"/>
  <c r="E11" i="14"/>
  <c r="D12" i="14" s="1"/>
  <c r="J11" i="14"/>
  <c r="I11" i="14"/>
  <c r="H11" i="14"/>
  <c r="E13" i="11" l="1"/>
  <c r="F14" i="11"/>
  <c r="G14" i="11" s="1"/>
  <c r="D14" i="11"/>
  <c r="J12" i="10"/>
  <c r="I12" i="10"/>
  <c r="H12" i="10"/>
  <c r="J12" i="12"/>
  <c r="I12" i="12"/>
  <c r="H12" i="12"/>
  <c r="J12" i="9"/>
  <c r="I12" i="9"/>
  <c r="H12" i="9"/>
  <c r="J12" i="7"/>
  <c r="I12" i="7"/>
  <c r="H12" i="7"/>
  <c r="J11" i="13"/>
  <c r="I11" i="13"/>
  <c r="H11" i="13"/>
  <c r="E12" i="14"/>
  <c r="D13" i="14" s="1"/>
  <c r="H11" i="8"/>
  <c r="J11" i="8"/>
  <c r="I11" i="8"/>
  <c r="F13" i="7"/>
  <c r="G13" i="7" s="1"/>
  <c r="E12" i="7"/>
  <c r="D13" i="7" s="1"/>
  <c r="E12" i="9"/>
  <c r="F13" i="9" s="1"/>
  <c r="G13" i="9" s="1"/>
  <c r="D12" i="12"/>
  <c r="F13" i="11"/>
  <c r="G13" i="11" s="1"/>
  <c r="E11" i="13"/>
  <c r="F12" i="13" s="1"/>
  <c r="G12" i="13" s="1"/>
  <c r="D12" i="13"/>
  <c r="F12" i="14"/>
  <c r="G12" i="14" s="1"/>
  <c r="E12" i="6"/>
  <c r="D13" i="6"/>
  <c r="F13" i="6"/>
  <c r="G13" i="6" s="1"/>
  <c r="E11" i="8"/>
  <c r="F12" i="8" s="1"/>
  <c r="G12" i="8" s="1"/>
  <c r="E12" i="10"/>
  <c r="F13" i="10" s="1"/>
  <c r="G13" i="10" s="1"/>
  <c r="J12" i="13" l="1"/>
  <c r="I12" i="13"/>
  <c r="H12" i="13"/>
  <c r="E13" i="7"/>
  <c r="F14" i="7"/>
  <c r="G14" i="7" s="1"/>
  <c r="D14" i="7"/>
  <c r="J13" i="9"/>
  <c r="I13" i="9"/>
  <c r="H13" i="9"/>
  <c r="E13" i="14"/>
  <c r="F14" i="14" s="1"/>
  <c r="G14" i="14" s="1"/>
  <c r="D14" i="14"/>
  <c r="J13" i="10"/>
  <c r="I13" i="10"/>
  <c r="H13" i="10"/>
  <c r="J12" i="8"/>
  <c r="I12" i="8"/>
  <c r="H12" i="8"/>
  <c r="J13" i="7"/>
  <c r="H13" i="7"/>
  <c r="I13" i="7"/>
  <c r="E12" i="12"/>
  <c r="F13" i="12" s="1"/>
  <c r="G13" i="12" s="1"/>
  <c r="D13" i="12"/>
  <c r="I13" i="11"/>
  <c r="H13" i="11"/>
  <c r="J13" i="11"/>
  <c r="D13" i="9"/>
  <c r="D12" i="8"/>
  <c r="F13" i="14"/>
  <c r="G13" i="14" s="1"/>
  <c r="D13" i="10"/>
  <c r="I13" i="6"/>
  <c r="H13" i="6"/>
  <c r="J13" i="6"/>
  <c r="J12" i="14"/>
  <c r="I12" i="14"/>
  <c r="H12" i="14"/>
  <c r="J14" i="11"/>
  <c r="I14" i="11"/>
  <c r="H14" i="11"/>
  <c r="E13" i="6"/>
  <c r="F14" i="6" s="1"/>
  <c r="G14" i="6" s="1"/>
  <c r="E12" i="13"/>
  <c r="F13" i="13" s="1"/>
  <c r="G13" i="13" s="1"/>
  <c r="D13" i="13"/>
  <c r="E14" i="11"/>
  <c r="F15" i="11" s="1"/>
  <c r="G15" i="11" s="1"/>
  <c r="J13" i="12" l="1"/>
  <c r="I13" i="12"/>
  <c r="H13" i="12"/>
  <c r="J14" i="14"/>
  <c r="I14" i="14"/>
  <c r="H14" i="14"/>
  <c r="J15" i="11"/>
  <c r="I15" i="11"/>
  <c r="H15" i="11"/>
  <c r="I13" i="13"/>
  <c r="H13" i="13"/>
  <c r="J13" i="13"/>
  <c r="I14" i="6"/>
  <c r="H14" i="6"/>
  <c r="J14" i="6"/>
  <c r="E13" i="10"/>
  <c r="F14" i="10" s="1"/>
  <c r="G14" i="10" s="1"/>
  <c r="D14" i="10"/>
  <c r="E12" i="8"/>
  <c r="F13" i="8" s="1"/>
  <c r="G13" i="8" s="1"/>
  <c r="D13" i="8"/>
  <c r="E13" i="12"/>
  <c r="F14" i="12" s="1"/>
  <c r="G14" i="12" s="1"/>
  <c r="D14" i="12"/>
  <c r="E13" i="13"/>
  <c r="F14" i="13" s="1"/>
  <c r="G14" i="13" s="1"/>
  <c r="D14" i="13"/>
  <c r="E13" i="9"/>
  <c r="F14" i="9" s="1"/>
  <c r="G14" i="9" s="1"/>
  <c r="D14" i="9"/>
  <c r="J13" i="14"/>
  <c r="I13" i="14"/>
  <c r="H13" i="14"/>
  <c r="J14" i="7"/>
  <c r="I14" i="7"/>
  <c r="H14" i="7"/>
  <c r="D15" i="11"/>
  <c r="E14" i="14"/>
  <c r="F15" i="14" s="1"/>
  <c r="G15" i="14" s="1"/>
  <c r="D14" i="6"/>
  <c r="E14" i="7"/>
  <c r="D15" i="7" s="1"/>
  <c r="F15" i="7"/>
  <c r="G15" i="7" s="1"/>
  <c r="J14" i="9" l="1"/>
  <c r="I14" i="9"/>
  <c r="H14" i="9"/>
  <c r="J14" i="13"/>
  <c r="I14" i="13"/>
  <c r="H14" i="13"/>
  <c r="J13" i="8"/>
  <c r="I13" i="8"/>
  <c r="H13" i="8"/>
  <c r="H14" i="12"/>
  <c r="J14" i="12"/>
  <c r="I14" i="12"/>
  <c r="I14" i="10"/>
  <c r="H14" i="10"/>
  <c r="J14" i="10"/>
  <c r="E15" i="7"/>
  <c r="F16" i="7" s="1"/>
  <c r="G16" i="7" s="1"/>
  <c r="J15" i="14"/>
  <c r="I15" i="14"/>
  <c r="H15" i="14"/>
  <c r="E14" i="13"/>
  <c r="F15" i="13" s="1"/>
  <c r="G15" i="13" s="1"/>
  <c r="E14" i="9"/>
  <c r="D15" i="9" s="1"/>
  <c r="E13" i="8"/>
  <c r="F14" i="8" s="1"/>
  <c r="G14" i="8" s="1"/>
  <c r="D14" i="8"/>
  <c r="J15" i="7"/>
  <c r="I15" i="7"/>
  <c r="H15" i="7"/>
  <c r="E14" i="12"/>
  <c r="F15" i="12" s="1"/>
  <c r="G15" i="12" s="1"/>
  <c r="D15" i="12"/>
  <c r="D15" i="14"/>
  <c r="E14" i="10"/>
  <c r="F15" i="10" s="1"/>
  <c r="G15" i="10" s="1"/>
  <c r="E14" i="6"/>
  <c r="F15" i="6" s="1"/>
  <c r="G15" i="6" s="1"/>
  <c r="F16" i="11"/>
  <c r="G16" i="11" s="1"/>
  <c r="E15" i="11"/>
  <c r="D16" i="11"/>
  <c r="I15" i="12" l="1"/>
  <c r="J15" i="12"/>
  <c r="H15" i="12"/>
  <c r="J14" i="8"/>
  <c r="I14" i="8"/>
  <c r="H14" i="8"/>
  <c r="J15" i="13"/>
  <c r="I15" i="13"/>
  <c r="H15" i="13"/>
  <c r="J15" i="10"/>
  <c r="I15" i="10"/>
  <c r="H15" i="10"/>
  <c r="J15" i="6"/>
  <c r="I15" i="6"/>
  <c r="H15" i="6"/>
  <c r="E15" i="9"/>
  <c r="F16" i="9"/>
  <c r="G16" i="9" s="1"/>
  <c r="D16" i="9"/>
  <c r="J16" i="7"/>
  <c r="I16" i="7"/>
  <c r="H16" i="7"/>
  <c r="F15" i="9"/>
  <c r="G15" i="9" s="1"/>
  <c r="D15" i="13"/>
  <c r="I16" i="11"/>
  <c r="H16" i="11"/>
  <c r="J16" i="11"/>
  <c r="D15" i="10"/>
  <c r="E14" i="8"/>
  <c r="F15" i="8" s="1"/>
  <c r="G15" i="8" s="1"/>
  <c r="D16" i="7"/>
  <c r="E16" i="11"/>
  <c r="F17" i="11" s="1"/>
  <c r="G17" i="11" s="1"/>
  <c r="E15" i="14"/>
  <c r="F16" i="14" s="1"/>
  <c r="G16" i="14" s="1"/>
  <c r="D16" i="14"/>
  <c r="D15" i="6"/>
  <c r="E15" i="12"/>
  <c r="F16" i="12" s="1"/>
  <c r="G16" i="12" s="1"/>
  <c r="J17" i="11" l="1"/>
  <c r="I17" i="11"/>
  <c r="H17" i="11"/>
  <c r="J16" i="14"/>
  <c r="I16" i="14"/>
  <c r="H16" i="14"/>
  <c r="I15" i="8"/>
  <c r="H15" i="8"/>
  <c r="J15" i="8"/>
  <c r="J16" i="12"/>
  <c r="I16" i="12"/>
  <c r="H16" i="12"/>
  <c r="E16" i="7"/>
  <c r="F17" i="7" s="1"/>
  <c r="G17" i="7" s="1"/>
  <c r="E15" i="10"/>
  <c r="F16" i="10"/>
  <c r="G16" i="10" s="1"/>
  <c r="D16" i="10"/>
  <c r="D15" i="8"/>
  <c r="I15" i="9"/>
  <c r="H15" i="9"/>
  <c r="J15" i="9"/>
  <c r="D16" i="12"/>
  <c r="E16" i="9"/>
  <c r="D17" i="9" s="1"/>
  <c r="E16" i="14"/>
  <c r="D17" i="14" s="1"/>
  <c r="D17" i="11"/>
  <c r="F16" i="13"/>
  <c r="G16" i="13" s="1"/>
  <c r="D16" i="13"/>
  <c r="E15" i="13"/>
  <c r="J16" i="9"/>
  <c r="I16" i="9"/>
  <c r="H16" i="9"/>
  <c r="E15" i="6"/>
  <c r="F16" i="6" s="1"/>
  <c r="G16" i="6" s="1"/>
  <c r="D16" i="6"/>
  <c r="J16" i="6" l="1"/>
  <c r="I16" i="6"/>
  <c r="H16" i="6"/>
  <c r="E17" i="14"/>
  <c r="F18" i="14"/>
  <c r="G18" i="14" s="1"/>
  <c r="D18" i="14"/>
  <c r="E17" i="9"/>
  <c r="F18" i="9"/>
  <c r="G18" i="9" s="1"/>
  <c r="D18" i="9"/>
  <c r="J17" i="7"/>
  <c r="I17" i="7"/>
  <c r="H17" i="7"/>
  <c r="E17" i="11"/>
  <c r="F18" i="11" s="1"/>
  <c r="G18" i="11" s="1"/>
  <c r="F17" i="9"/>
  <c r="G17" i="9" s="1"/>
  <c r="E15" i="8"/>
  <c r="F16" i="8"/>
  <c r="G16" i="8" s="1"/>
  <c r="D16" i="8"/>
  <c r="E16" i="13"/>
  <c r="D17" i="13" s="1"/>
  <c r="F17" i="14"/>
  <c r="G17" i="14" s="1"/>
  <c r="D17" i="7"/>
  <c r="J16" i="10"/>
  <c r="I16" i="10"/>
  <c r="H16" i="10"/>
  <c r="E16" i="12"/>
  <c r="F17" i="12" s="1"/>
  <c r="G17" i="12" s="1"/>
  <c r="E16" i="10"/>
  <c r="D17" i="10" s="1"/>
  <c r="J16" i="13"/>
  <c r="I16" i="13"/>
  <c r="H16" i="13"/>
  <c r="E16" i="6"/>
  <c r="D17" i="6" s="1"/>
  <c r="E17" i="6" l="1"/>
  <c r="D18" i="6" s="1"/>
  <c r="J17" i="12"/>
  <c r="I17" i="12"/>
  <c r="H17" i="12"/>
  <c r="E17" i="10"/>
  <c r="F18" i="10"/>
  <c r="G18" i="10" s="1"/>
  <c r="D18" i="10"/>
  <c r="F18" i="13"/>
  <c r="G18" i="13" s="1"/>
  <c r="E17" i="13"/>
  <c r="D18" i="13"/>
  <c r="I18" i="11"/>
  <c r="H18" i="11"/>
  <c r="J18" i="11"/>
  <c r="E17" i="7"/>
  <c r="D18" i="7" s="1"/>
  <c r="D17" i="12"/>
  <c r="F17" i="13"/>
  <c r="G17" i="13" s="1"/>
  <c r="I16" i="8"/>
  <c r="H16" i="8"/>
  <c r="J16" i="8"/>
  <c r="D18" i="11"/>
  <c r="J17" i="9"/>
  <c r="I17" i="9"/>
  <c r="H17" i="9"/>
  <c r="E18" i="9"/>
  <c r="D19" i="9" s="1"/>
  <c r="F17" i="10"/>
  <c r="G17" i="10" s="1"/>
  <c r="J18" i="9"/>
  <c r="I18" i="9"/>
  <c r="H18" i="9"/>
  <c r="F17" i="6"/>
  <c r="G17" i="6" s="1"/>
  <c r="E18" i="14"/>
  <c r="F19" i="14" s="1"/>
  <c r="G19" i="14" s="1"/>
  <c r="J17" i="14"/>
  <c r="I17" i="14"/>
  <c r="H17" i="14"/>
  <c r="E16" i="8"/>
  <c r="F17" i="8" s="1"/>
  <c r="G17" i="8" s="1"/>
  <c r="D17" i="8"/>
  <c r="J18" i="14"/>
  <c r="I18" i="14"/>
  <c r="H18" i="14"/>
  <c r="J19" i="14" l="1"/>
  <c r="I19" i="14"/>
  <c r="H19" i="14"/>
  <c r="E18" i="7"/>
  <c r="F19" i="7" s="1"/>
  <c r="G19" i="7" s="1"/>
  <c r="D19" i="7"/>
  <c r="E19" i="9"/>
  <c r="F20" i="9" s="1"/>
  <c r="G20" i="9" s="1"/>
  <c r="J17" i="8"/>
  <c r="H17" i="8"/>
  <c r="I17" i="8"/>
  <c r="E18" i="6"/>
  <c r="F19" i="6" s="1"/>
  <c r="G19" i="6" s="1"/>
  <c r="F19" i="9"/>
  <c r="G19" i="9" s="1"/>
  <c r="J17" i="13"/>
  <c r="H17" i="13"/>
  <c r="I17" i="13"/>
  <c r="F18" i="12"/>
  <c r="G18" i="12" s="1"/>
  <c r="E17" i="12"/>
  <c r="D18" i="12"/>
  <c r="E17" i="8"/>
  <c r="D18" i="8" s="1"/>
  <c r="E18" i="11"/>
  <c r="D19" i="11" s="1"/>
  <c r="F18" i="7"/>
  <c r="G18" i="7" s="1"/>
  <c r="E18" i="13"/>
  <c r="F19" i="13" s="1"/>
  <c r="G19" i="13" s="1"/>
  <c r="J18" i="10"/>
  <c r="I18" i="10"/>
  <c r="H18" i="10"/>
  <c r="E18" i="10"/>
  <c r="F19" i="10"/>
  <c r="G19" i="10" s="1"/>
  <c r="D19" i="10"/>
  <c r="I17" i="10"/>
  <c r="H17" i="10"/>
  <c r="J17" i="10"/>
  <c r="J18" i="13"/>
  <c r="H18" i="13"/>
  <c r="I18" i="13"/>
  <c r="D19" i="14"/>
  <c r="I17" i="6"/>
  <c r="J17" i="6"/>
  <c r="H17" i="6"/>
  <c r="F18" i="6"/>
  <c r="G18" i="6" s="1"/>
  <c r="E18" i="8" l="1"/>
  <c r="F19" i="8" s="1"/>
  <c r="G19" i="8" s="1"/>
  <c r="J19" i="13"/>
  <c r="I19" i="13"/>
  <c r="H19" i="13"/>
  <c r="E19" i="11"/>
  <c r="F20" i="11" s="1"/>
  <c r="G20" i="11" s="1"/>
  <c r="H19" i="6"/>
  <c r="J19" i="6"/>
  <c r="I19" i="6"/>
  <c r="J20" i="9"/>
  <c r="I20" i="9"/>
  <c r="H20" i="9"/>
  <c r="H19" i="7"/>
  <c r="J19" i="7"/>
  <c r="I19" i="7"/>
  <c r="F19" i="11"/>
  <c r="G19" i="11" s="1"/>
  <c r="I18" i="12"/>
  <c r="H18" i="12"/>
  <c r="J18" i="12"/>
  <c r="D19" i="13"/>
  <c r="F18" i="8"/>
  <c r="G18" i="8" s="1"/>
  <c r="I19" i="9"/>
  <c r="H19" i="9"/>
  <c r="J19" i="9"/>
  <c r="D19" i="6"/>
  <c r="E19" i="7"/>
  <c r="D20" i="7" s="1"/>
  <c r="F20" i="14"/>
  <c r="G20" i="14" s="1"/>
  <c r="E19" i="14"/>
  <c r="D20" i="14" s="1"/>
  <c r="J19" i="10"/>
  <c r="I19" i="10"/>
  <c r="H19" i="10"/>
  <c r="J18" i="7"/>
  <c r="H18" i="7"/>
  <c r="I18" i="7"/>
  <c r="E18" i="12"/>
  <c r="F19" i="12"/>
  <c r="G19" i="12" s="1"/>
  <c r="D19" i="12"/>
  <c r="I18" i="6"/>
  <c r="H18" i="6"/>
  <c r="J18" i="6"/>
  <c r="D20" i="9"/>
  <c r="E19" i="10"/>
  <c r="F20" i="10" s="1"/>
  <c r="G20" i="10" s="1"/>
  <c r="E20" i="7" l="1"/>
  <c r="F21" i="7" s="1"/>
  <c r="G21" i="7" s="1"/>
  <c r="J20" i="10"/>
  <c r="I20" i="10"/>
  <c r="H20" i="10"/>
  <c r="E20" i="14"/>
  <c r="F21" i="14"/>
  <c r="G21" i="14" s="1"/>
  <c r="D21" i="14"/>
  <c r="H20" i="11"/>
  <c r="J20" i="11"/>
  <c r="I20" i="11"/>
  <c r="J19" i="8"/>
  <c r="I19" i="8"/>
  <c r="H19" i="8"/>
  <c r="E19" i="13"/>
  <c r="F20" i="13" s="1"/>
  <c r="G20" i="13" s="1"/>
  <c r="F20" i="7"/>
  <c r="G20" i="7" s="1"/>
  <c r="H19" i="11"/>
  <c r="J19" i="11"/>
  <c r="I19" i="11"/>
  <c r="J20" i="14"/>
  <c r="I20" i="14"/>
  <c r="H20" i="14"/>
  <c r="D20" i="10"/>
  <c r="E20" i="9"/>
  <c r="D21" i="9" s="1"/>
  <c r="I18" i="8"/>
  <c r="H18" i="8"/>
  <c r="J18" i="8"/>
  <c r="E19" i="12"/>
  <c r="F20" i="12" s="1"/>
  <c r="G20" i="12" s="1"/>
  <c r="D20" i="11"/>
  <c r="D19" i="8"/>
  <c r="E19" i="6"/>
  <c r="F20" i="6"/>
  <c r="G20" i="6" s="1"/>
  <c r="D20" i="6"/>
  <c r="J19" i="12"/>
  <c r="I19" i="12"/>
  <c r="H19" i="12"/>
  <c r="H20" i="12" l="1"/>
  <c r="J20" i="12"/>
  <c r="I20" i="12"/>
  <c r="E21" i="9"/>
  <c r="F22" i="9"/>
  <c r="G22" i="9" s="1"/>
  <c r="D22" i="9"/>
  <c r="J20" i="13"/>
  <c r="I20" i="13"/>
  <c r="H20" i="13"/>
  <c r="H21" i="7"/>
  <c r="J21" i="7"/>
  <c r="I21" i="7"/>
  <c r="E20" i="10"/>
  <c r="F21" i="10" s="1"/>
  <c r="G21" i="10" s="1"/>
  <c r="D21" i="10"/>
  <c r="D20" i="13"/>
  <c r="J20" i="7"/>
  <c r="I20" i="7"/>
  <c r="H20" i="7"/>
  <c r="F21" i="9"/>
  <c r="G21" i="9" s="1"/>
  <c r="H20" i="6"/>
  <c r="I20" i="6"/>
  <c r="J20" i="6"/>
  <c r="E21" i="14"/>
  <c r="F22" i="14" s="1"/>
  <c r="G22" i="14" s="1"/>
  <c r="D22" i="14"/>
  <c r="J21" i="14"/>
  <c r="I21" i="14"/>
  <c r="H21" i="14"/>
  <c r="E20" i="11"/>
  <c r="F21" i="11" s="1"/>
  <c r="G21" i="11" s="1"/>
  <c r="D21" i="11"/>
  <c r="E20" i="6"/>
  <c r="F21" i="6" s="1"/>
  <c r="G21" i="6" s="1"/>
  <c r="E19" i="8"/>
  <c r="F20" i="8" s="1"/>
  <c r="G20" i="8" s="1"/>
  <c r="D20" i="12"/>
  <c r="D21" i="7"/>
  <c r="J20" i="8" l="1"/>
  <c r="I20" i="8"/>
  <c r="H20" i="8"/>
  <c r="J21" i="11"/>
  <c r="I21" i="11"/>
  <c r="H21" i="11"/>
  <c r="H21" i="6"/>
  <c r="J21" i="6"/>
  <c r="I21" i="6"/>
  <c r="J22" i="14"/>
  <c r="I22" i="14"/>
  <c r="H22" i="14"/>
  <c r="J21" i="10"/>
  <c r="I21" i="10"/>
  <c r="H21" i="10"/>
  <c r="E21" i="11"/>
  <c r="F22" i="11" s="1"/>
  <c r="G22" i="11" s="1"/>
  <c r="J21" i="9"/>
  <c r="I21" i="9"/>
  <c r="H21" i="9"/>
  <c r="F23" i="14"/>
  <c r="G23" i="14" s="1"/>
  <c r="E22" i="14"/>
  <c r="D23" i="14" s="1"/>
  <c r="E21" i="10"/>
  <c r="F22" i="10" s="1"/>
  <c r="G22" i="10" s="1"/>
  <c r="D22" i="10"/>
  <c r="E20" i="13"/>
  <c r="D21" i="13" s="1"/>
  <c r="F21" i="13"/>
  <c r="G21" i="13" s="1"/>
  <c r="E20" i="12"/>
  <c r="D21" i="12" s="1"/>
  <c r="F21" i="12"/>
  <c r="G21" i="12" s="1"/>
  <c r="E22" i="9"/>
  <c r="F23" i="9" s="1"/>
  <c r="G23" i="9" s="1"/>
  <c r="D23" i="9"/>
  <c r="E21" i="7"/>
  <c r="F22" i="7"/>
  <c r="G22" i="7" s="1"/>
  <c r="D22" i="7"/>
  <c r="D20" i="8"/>
  <c r="J22" i="9"/>
  <c r="I22" i="9"/>
  <c r="H22" i="9"/>
  <c r="D21" i="6"/>
  <c r="I23" i="9" l="1"/>
  <c r="H23" i="9"/>
  <c r="J23" i="9"/>
  <c r="E21" i="12"/>
  <c r="F22" i="12" s="1"/>
  <c r="G22" i="12" s="1"/>
  <c r="D22" i="12"/>
  <c r="J22" i="10"/>
  <c r="I22" i="10"/>
  <c r="H22" i="10"/>
  <c r="E21" i="13"/>
  <c r="F22" i="13" s="1"/>
  <c r="G22" i="13" s="1"/>
  <c r="D22" i="13"/>
  <c r="D24" i="14"/>
  <c r="E23" i="14"/>
  <c r="F24" i="14" s="1"/>
  <c r="G24" i="14" s="1"/>
  <c r="J22" i="11"/>
  <c r="I22" i="11"/>
  <c r="H22" i="11"/>
  <c r="J23" i="14"/>
  <c r="I23" i="14"/>
  <c r="H23" i="14"/>
  <c r="I21" i="12"/>
  <c r="J21" i="12"/>
  <c r="H21" i="12"/>
  <c r="J21" i="13"/>
  <c r="I21" i="13"/>
  <c r="H21" i="13"/>
  <c r="D22" i="11"/>
  <c r="E21" i="6"/>
  <c r="F22" i="6" s="1"/>
  <c r="G22" i="6" s="1"/>
  <c r="F21" i="8"/>
  <c r="G21" i="8" s="1"/>
  <c r="E20" i="8"/>
  <c r="D21" i="8" s="1"/>
  <c r="E22" i="7"/>
  <c r="F23" i="7"/>
  <c r="G23" i="7" s="1"/>
  <c r="D23" i="7"/>
  <c r="E23" i="9"/>
  <c r="D24" i="9" s="1"/>
  <c r="E22" i="10"/>
  <c r="D23" i="10" s="1"/>
  <c r="F23" i="10"/>
  <c r="G23" i="10" s="1"/>
  <c r="H22" i="7"/>
  <c r="I22" i="7"/>
  <c r="J22" i="7"/>
  <c r="E24" i="9" l="1"/>
  <c r="F25" i="9"/>
  <c r="G25" i="9" s="1"/>
  <c r="D25" i="9"/>
  <c r="E21" i="8"/>
  <c r="D22" i="8" s="1"/>
  <c r="J24" i="14"/>
  <c r="I24" i="14"/>
  <c r="H24" i="14"/>
  <c r="J22" i="6"/>
  <c r="H22" i="6"/>
  <c r="I22" i="6"/>
  <c r="J22" i="13"/>
  <c r="I22" i="13"/>
  <c r="H22" i="13"/>
  <c r="J22" i="12"/>
  <c r="I22" i="12"/>
  <c r="H22" i="12"/>
  <c r="E23" i="10"/>
  <c r="D24" i="10" s="1"/>
  <c r="D22" i="6"/>
  <c r="J21" i="8"/>
  <c r="I21" i="8"/>
  <c r="H21" i="8"/>
  <c r="E24" i="14"/>
  <c r="D25" i="14" s="1"/>
  <c r="E22" i="13"/>
  <c r="F23" i="13" s="1"/>
  <c r="G23" i="13" s="1"/>
  <c r="D23" i="13"/>
  <c r="E22" i="11"/>
  <c r="F23" i="11" s="1"/>
  <c r="G23" i="11" s="1"/>
  <c r="J23" i="10"/>
  <c r="I23" i="10"/>
  <c r="H23" i="10"/>
  <c r="F24" i="9"/>
  <c r="G24" i="9" s="1"/>
  <c r="E23" i="7"/>
  <c r="F24" i="7" s="1"/>
  <c r="G24" i="7" s="1"/>
  <c r="D24" i="7"/>
  <c r="E22" i="12"/>
  <c r="D23" i="12" s="1"/>
  <c r="I23" i="7"/>
  <c r="J23" i="7"/>
  <c r="H23" i="7"/>
  <c r="E23" i="12" l="1"/>
  <c r="F24" i="12"/>
  <c r="G24" i="12" s="1"/>
  <c r="D24" i="12"/>
  <c r="J23" i="11"/>
  <c r="I23" i="11"/>
  <c r="H23" i="11"/>
  <c r="F26" i="14"/>
  <c r="G26" i="14" s="1"/>
  <c r="E25" i="14"/>
  <c r="D26" i="14"/>
  <c r="J24" i="7"/>
  <c r="I24" i="7"/>
  <c r="H24" i="7"/>
  <c r="J23" i="13"/>
  <c r="H23" i="13"/>
  <c r="I23" i="13"/>
  <c r="E24" i="10"/>
  <c r="F25" i="10" s="1"/>
  <c r="G25" i="10" s="1"/>
  <c r="D25" i="10"/>
  <c r="E22" i="8"/>
  <c r="D23" i="8" s="1"/>
  <c r="F23" i="8"/>
  <c r="G23" i="8" s="1"/>
  <c r="E23" i="13"/>
  <c r="D24" i="13" s="1"/>
  <c r="F24" i="13"/>
  <c r="G24" i="13" s="1"/>
  <c r="F25" i="14"/>
  <c r="G25" i="14" s="1"/>
  <c r="F24" i="10"/>
  <c r="G24" i="10" s="1"/>
  <c r="F23" i="12"/>
  <c r="G23" i="12" s="1"/>
  <c r="D23" i="11"/>
  <c r="E22" i="6"/>
  <c r="F23" i="6" s="1"/>
  <c r="G23" i="6" s="1"/>
  <c r="F25" i="7"/>
  <c r="G25" i="7" s="1"/>
  <c r="E24" i="7"/>
  <c r="D25" i="7"/>
  <c r="H24" i="9"/>
  <c r="J24" i="9"/>
  <c r="I24" i="9"/>
  <c r="F22" i="8"/>
  <c r="G22" i="8" s="1"/>
  <c r="E25" i="9"/>
  <c r="F26" i="9"/>
  <c r="G26" i="9" s="1"/>
  <c r="D26" i="9"/>
  <c r="J25" i="9"/>
  <c r="I25" i="9"/>
  <c r="H25" i="9"/>
  <c r="J23" i="6" l="1"/>
  <c r="H23" i="6"/>
  <c r="I23" i="6"/>
  <c r="E24" i="13"/>
  <c r="F25" i="13" s="1"/>
  <c r="G25" i="13" s="1"/>
  <c r="E23" i="8"/>
  <c r="F24" i="8" s="1"/>
  <c r="G24" i="8" s="1"/>
  <c r="D24" i="8"/>
  <c r="J25" i="10"/>
  <c r="I25" i="10"/>
  <c r="H25" i="10"/>
  <c r="D23" i="6"/>
  <c r="E23" i="11"/>
  <c r="F24" i="11"/>
  <c r="G24" i="11" s="1"/>
  <c r="D24" i="11"/>
  <c r="J25" i="14"/>
  <c r="I25" i="14"/>
  <c r="H25" i="14"/>
  <c r="J25" i="7"/>
  <c r="I25" i="7"/>
  <c r="H25" i="7"/>
  <c r="H23" i="12"/>
  <c r="J23" i="12"/>
  <c r="I23" i="12"/>
  <c r="E25" i="10"/>
  <c r="F26" i="10"/>
  <c r="G26" i="10" s="1"/>
  <c r="D26" i="10"/>
  <c r="J23" i="8"/>
  <c r="I23" i="8"/>
  <c r="H23" i="8"/>
  <c r="E26" i="9"/>
  <c r="D27" i="9" s="1"/>
  <c r="J24" i="13"/>
  <c r="I24" i="13"/>
  <c r="H24" i="13"/>
  <c r="E26" i="14"/>
  <c r="F27" i="14" s="1"/>
  <c r="G27" i="14" s="1"/>
  <c r="J26" i="9"/>
  <c r="I26" i="9"/>
  <c r="H26" i="9"/>
  <c r="I22" i="8"/>
  <c r="H22" i="8"/>
  <c r="J22" i="8"/>
  <c r="J24" i="10"/>
  <c r="I24" i="10"/>
  <c r="H24" i="10"/>
  <c r="J26" i="14"/>
  <c r="I26" i="14"/>
  <c r="H26" i="14"/>
  <c r="D25" i="12"/>
  <c r="E24" i="12"/>
  <c r="F25" i="12" s="1"/>
  <c r="G25" i="12" s="1"/>
  <c r="E25" i="7"/>
  <c r="D26" i="7" s="1"/>
  <c r="F26" i="7"/>
  <c r="G26" i="7" s="1"/>
  <c r="I24" i="12"/>
  <c r="J24" i="12"/>
  <c r="H24" i="12"/>
  <c r="E26" i="7" l="1"/>
  <c r="F27" i="7"/>
  <c r="G27" i="7" s="1"/>
  <c r="D27" i="7"/>
  <c r="E27" i="9"/>
  <c r="F28" i="9" s="1"/>
  <c r="G28" i="9" s="1"/>
  <c r="D28" i="9"/>
  <c r="J25" i="12"/>
  <c r="I25" i="12"/>
  <c r="H25" i="12"/>
  <c r="J24" i="8"/>
  <c r="I24" i="8"/>
  <c r="H24" i="8"/>
  <c r="I25" i="13"/>
  <c r="J25" i="13"/>
  <c r="H25" i="13"/>
  <c r="J27" i="14"/>
  <c r="I27" i="14"/>
  <c r="H27" i="14"/>
  <c r="H26" i="10"/>
  <c r="J26" i="10"/>
  <c r="I26" i="10"/>
  <c r="J24" i="11"/>
  <c r="I24" i="11"/>
  <c r="H24" i="11"/>
  <c r="E26" i="10"/>
  <c r="F27" i="10" s="1"/>
  <c r="G27" i="10" s="1"/>
  <c r="D27" i="10"/>
  <c r="E23" i="6"/>
  <c r="F24" i="6" s="1"/>
  <c r="G24" i="6" s="1"/>
  <c r="I26" i="7"/>
  <c r="H26" i="7"/>
  <c r="J26" i="7"/>
  <c r="E25" i="12"/>
  <c r="F26" i="12" s="1"/>
  <c r="G26" i="12" s="1"/>
  <c r="D26" i="12"/>
  <c r="E24" i="8"/>
  <c r="F25" i="8"/>
  <c r="G25" i="8" s="1"/>
  <c r="D25" i="8"/>
  <c r="D27" i="14"/>
  <c r="E24" i="11"/>
  <c r="F25" i="11" s="1"/>
  <c r="G25" i="11" s="1"/>
  <c r="D25" i="11"/>
  <c r="D25" i="13"/>
  <c r="F27" i="9"/>
  <c r="G27" i="9" s="1"/>
  <c r="H26" i="12" l="1"/>
  <c r="J26" i="12"/>
  <c r="I26" i="12"/>
  <c r="I27" i="10"/>
  <c r="J27" i="10"/>
  <c r="H27" i="10"/>
  <c r="I24" i="6"/>
  <c r="J24" i="6"/>
  <c r="H24" i="6"/>
  <c r="J25" i="11"/>
  <c r="I25" i="11"/>
  <c r="H25" i="11"/>
  <c r="J28" i="9"/>
  <c r="I28" i="9"/>
  <c r="H28" i="9"/>
  <c r="D24" i="6"/>
  <c r="E27" i="10"/>
  <c r="F28" i="10" s="1"/>
  <c r="G28" i="10" s="1"/>
  <c r="D28" i="10"/>
  <c r="J27" i="9"/>
  <c r="I27" i="9"/>
  <c r="H27" i="9"/>
  <c r="E25" i="11"/>
  <c r="D26" i="11" s="1"/>
  <c r="F26" i="11"/>
  <c r="G26" i="11" s="1"/>
  <c r="J25" i="8"/>
  <c r="I25" i="8"/>
  <c r="H25" i="8"/>
  <c r="E27" i="14"/>
  <c r="F28" i="14"/>
  <c r="G28" i="14" s="1"/>
  <c r="D28" i="14"/>
  <c r="D27" i="12"/>
  <c r="E26" i="12"/>
  <c r="F27" i="12" s="1"/>
  <c r="G27" i="12" s="1"/>
  <c r="I27" i="7"/>
  <c r="J27" i="7"/>
  <c r="H27" i="7"/>
  <c r="E25" i="13"/>
  <c r="F26" i="13" s="1"/>
  <c r="G26" i="13" s="1"/>
  <c r="E25" i="8"/>
  <c r="F26" i="8" s="1"/>
  <c r="G26" i="8" s="1"/>
  <c r="D26" i="8"/>
  <c r="E28" i="9"/>
  <c r="F29" i="9" s="1"/>
  <c r="G29" i="9" s="1"/>
  <c r="E27" i="7"/>
  <c r="D28" i="7" s="1"/>
  <c r="J28" i="10" l="1"/>
  <c r="I28" i="10"/>
  <c r="H28" i="10"/>
  <c r="E26" i="11"/>
  <c r="F27" i="11" s="1"/>
  <c r="G27" i="11" s="1"/>
  <c r="D27" i="11"/>
  <c r="E28" i="7"/>
  <c r="F29" i="7" s="1"/>
  <c r="G29" i="7" s="1"/>
  <c r="I26" i="8"/>
  <c r="H26" i="8"/>
  <c r="J26" i="8"/>
  <c r="J27" i="12"/>
  <c r="I27" i="12"/>
  <c r="H27" i="12"/>
  <c r="J29" i="9"/>
  <c r="I29" i="9"/>
  <c r="H29" i="9"/>
  <c r="J26" i="13"/>
  <c r="I26" i="13"/>
  <c r="H26" i="13"/>
  <c r="J28" i="14"/>
  <c r="I28" i="14"/>
  <c r="H28" i="14"/>
  <c r="E27" i="12"/>
  <c r="F28" i="12"/>
  <c r="G28" i="12" s="1"/>
  <c r="D28" i="12"/>
  <c r="J26" i="11"/>
  <c r="I26" i="11"/>
  <c r="H26" i="11"/>
  <c r="E28" i="10"/>
  <c r="F29" i="10" s="1"/>
  <c r="G29" i="10" s="1"/>
  <c r="F28" i="7"/>
  <c r="G28" i="7" s="1"/>
  <c r="E24" i="6"/>
  <c r="F25" i="6"/>
  <c r="G25" i="6" s="1"/>
  <c r="D25" i="6"/>
  <c r="D29" i="9"/>
  <c r="E28" i="14"/>
  <c r="D29" i="14" s="1"/>
  <c r="D26" i="13"/>
  <c r="E26" i="8"/>
  <c r="F27" i="8"/>
  <c r="G27" i="8" s="1"/>
  <c r="D27" i="8"/>
  <c r="J29" i="10" l="1"/>
  <c r="I29" i="10"/>
  <c r="H29" i="10"/>
  <c r="J29" i="7"/>
  <c r="H29" i="7"/>
  <c r="I29" i="7"/>
  <c r="I27" i="11"/>
  <c r="J27" i="11"/>
  <c r="H27" i="11"/>
  <c r="E29" i="14"/>
  <c r="F30" i="14" s="1"/>
  <c r="G30" i="14" s="1"/>
  <c r="D29" i="10"/>
  <c r="J28" i="12"/>
  <c r="I28" i="12"/>
  <c r="H28" i="12"/>
  <c r="E28" i="12"/>
  <c r="F29" i="12" s="1"/>
  <c r="G29" i="12" s="1"/>
  <c r="E27" i="8"/>
  <c r="F28" i="8" s="1"/>
  <c r="G28" i="8" s="1"/>
  <c r="E26" i="13"/>
  <c r="D27" i="13" s="1"/>
  <c r="J27" i="8"/>
  <c r="I27" i="8"/>
  <c r="H27" i="8"/>
  <c r="E27" i="11"/>
  <c r="F28" i="11" s="1"/>
  <c r="G28" i="11" s="1"/>
  <c r="F29" i="14"/>
  <c r="G29" i="14" s="1"/>
  <c r="E29" i="9"/>
  <c r="F30" i="9"/>
  <c r="G30" i="9" s="1"/>
  <c r="D30" i="9"/>
  <c r="D29" i="7"/>
  <c r="E25" i="6"/>
  <c r="F26" i="6" s="1"/>
  <c r="G26" i="6" s="1"/>
  <c r="H25" i="6"/>
  <c r="J25" i="6"/>
  <c r="I25" i="6"/>
  <c r="J28" i="7"/>
  <c r="I28" i="7"/>
  <c r="H28" i="7"/>
  <c r="J26" i="6" l="1"/>
  <c r="I26" i="6"/>
  <c r="H26" i="6"/>
  <c r="H28" i="8"/>
  <c r="J28" i="8"/>
  <c r="I28" i="8"/>
  <c r="H28" i="11"/>
  <c r="J28" i="11"/>
  <c r="I28" i="11"/>
  <c r="E27" i="13"/>
  <c r="D28" i="13" s="1"/>
  <c r="F28" i="13"/>
  <c r="G28" i="13" s="1"/>
  <c r="H29" i="12"/>
  <c r="J29" i="12"/>
  <c r="I29" i="12"/>
  <c r="J30" i="14"/>
  <c r="I30" i="14"/>
  <c r="H30" i="14"/>
  <c r="D28" i="11"/>
  <c r="F27" i="13"/>
  <c r="G27" i="13" s="1"/>
  <c r="D29" i="12"/>
  <c r="D28" i="8"/>
  <c r="D30" i="14"/>
  <c r="J29" i="14"/>
  <c r="I29" i="14"/>
  <c r="H29" i="14"/>
  <c r="E29" i="10"/>
  <c r="F30" i="10" s="1"/>
  <c r="G30" i="10" s="1"/>
  <c r="D26" i="6"/>
  <c r="E29" i="7"/>
  <c r="D30" i="7" s="1"/>
  <c r="F30" i="7"/>
  <c r="G30" i="7" s="1"/>
  <c r="E30" i="9"/>
  <c r="F31" i="9" s="1"/>
  <c r="G31" i="9" s="1"/>
  <c r="D31" i="9"/>
  <c r="J30" i="9"/>
  <c r="I30" i="9"/>
  <c r="H30" i="9"/>
  <c r="E30" i="7" l="1"/>
  <c r="F31" i="7"/>
  <c r="G31" i="7" s="1"/>
  <c r="D31" i="7"/>
  <c r="I31" i="9"/>
  <c r="H31" i="9"/>
  <c r="J31" i="9"/>
  <c r="J30" i="10"/>
  <c r="I30" i="10"/>
  <c r="H30" i="10"/>
  <c r="E28" i="13"/>
  <c r="F29" i="13" s="1"/>
  <c r="G29" i="13" s="1"/>
  <c r="I30" i="7"/>
  <c r="H30" i="7"/>
  <c r="J30" i="7"/>
  <c r="E29" i="12"/>
  <c r="F30" i="12" s="1"/>
  <c r="G30" i="12" s="1"/>
  <c r="D30" i="12"/>
  <c r="H27" i="13"/>
  <c r="J27" i="13"/>
  <c r="I27" i="13"/>
  <c r="E28" i="11"/>
  <c r="F29" i="11" s="1"/>
  <c r="G29" i="11" s="1"/>
  <c r="F29" i="8"/>
  <c r="G29" i="8" s="1"/>
  <c r="E28" i="8"/>
  <c r="D29" i="8"/>
  <c r="E26" i="6"/>
  <c r="F27" i="6" s="1"/>
  <c r="G27" i="6" s="1"/>
  <c r="D27" i="6"/>
  <c r="D30" i="10"/>
  <c r="E31" i="9"/>
  <c r="F32" i="9" s="1"/>
  <c r="G32" i="9" s="1"/>
  <c r="E30" i="14"/>
  <c r="F31" i="14" s="1"/>
  <c r="G31" i="14" s="1"/>
  <c r="I28" i="13"/>
  <c r="J28" i="13"/>
  <c r="H28" i="13"/>
  <c r="J29" i="11" l="1"/>
  <c r="I29" i="11"/>
  <c r="H29" i="11"/>
  <c r="H31" i="14"/>
  <c r="J31" i="14"/>
  <c r="I31" i="14"/>
  <c r="J32" i="9"/>
  <c r="I32" i="9"/>
  <c r="H32" i="9"/>
  <c r="J27" i="6"/>
  <c r="I27" i="6"/>
  <c r="H27" i="6"/>
  <c r="I30" i="12"/>
  <c r="H30" i="12"/>
  <c r="J30" i="12"/>
  <c r="J29" i="13"/>
  <c r="I29" i="13"/>
  <c r="H29" i="13"/>
  <c r="E29" i="8"/>
  <c r="F30" i="8"/>
  <c r="G30" i="8" s="1"/>
  <c r="D30" i="8"/>
  <c r="E30" i="12"/>
  <c r="D31" i="12"/>
  <c r="F31" i="12"/>
  <c r="G31" i="12" s="1"/>
  <c r="D29" i="13"/>
  <c r="E30" i="10"/>
  <c r="D31" i="10" s="1"/>
  <c r="D29" i="11"/>
  <c r="H31" i="7"/>
  <c r="I31" i="7"/>
  <c r="J31" i="7"/>
  <c r="E27" i="6"/>
  <c r="F28" i="6" s="1"/>
  <c r="G28" i="6" s="1"/>
  <c r="D28" i="6"/>
  <c r="J29" i="8"/>
  <c r="I29" i="8"/>
  <c r="H29" i="8"/>
  <c r="D31" i="14"/>
  <c r="E31" i="7"/>
  <c r="F32" i="7" s="1"/>
  <c r="G32" i="7" s="1"/>
  <c r="D32" i="9"/>
  <c r="E31" i="10" l="1"/>
  <c r="F32" i="10" s="1"/>
  <c r="G32" i="10" s="1"/>
  <c r="D32" i="10"/>
  <c r="I28" i="6"/>
  <c r="H28" i="6"/>
  <c r="J28" i="6"/>
  <c r="J32" i="7"/>
  <c r="I32" i="7"/>
  <c r="H32" i="7"/>
  <c r="F31" i="10"/>
  <c r="G31" i="10" s="1"/>
  <c r="E29" i="11"/>
  <c r="F30" i="11"/>
  <c r="G30" i="11" s="1"/>
  <c r="D30" i="11"/>
  <c r="J30" i="8"/>
  <c r="I30" i="8"/>
  <c r="H30" i="8"/>
  <c r="E31" i="12"/>
  <c r="F32" i="12" s="1"/>
  <c r="G32" i="12" s="1"/>
  <c r="E32" i="9"/>
  <c r="D33" i="9" s="1"/>
  <c r="F33" i="9"/>
  <c r="G33" i="9" s="1"/>
  <c r="E30" i="8"/>
  <c r="D31" i="8" s="1"/>
  <c r="H31" i="12"/>
  <c r="J31" i="12"/>
  <c r="I31" i="12"/>
  <c r="D32" i="7"/>
  <c r="D30" i="13"/>
  <c r="E29" i="13"/>
  <c r="F30" i="13" s="1"/>
  <c r="G30" i="13" s="1"/>
  <c r="E31" i="14"/>
  <c r="F32" i="14"/>
  <c r="G32" i="14" s="1"/>
  <c r="D32" i="14"/>
  <c r="E28" i="6"/>
  <c r="F29" i="6" s="1"/>
  <c r="G29" i="6" s="1"/>
  <c r="D29" i="6"/>
  <c r="I30" i="13" l="1"/>
  <c r="H30" i="13"/>
  <c r="J30" i="13"/>
  <c r="I29" i="6"/>
  <c r="H29" i="6"/>
  <c r="J29" i="6"/>
  <c r="E31" i="8"/>
  <c r="F32" i="8" s="1"/>
  <c r="G32" i="8" s="1"/>
  <c r="D32" i="8"/>
  <c r="F34" i="9"/>
  <c r="G34" i="9" s="1"/>
  <c r="E33" i="9"/>
  <c r="D34" i="9"/>
  <c r="J32" i="12"/>
  <c r="H32" i="12"/>
  <c r="I32" i="12"/>
  <c r="J32" i="10"/>
  <c r="I32" i="10"/>
  <c r="H32" i="10"/>
  <c r="E30" i="13"/>
  <c r="F31" i="13" s="1"/>
  <c r="G31" i="13" s="1"/>
  <c r="J33" i="9"/>
  <c r="I33" i="9"/>
  <c r="H33" i="9"/>
  <c r="F33" i="7"/>
  <c r="G33" i="7" s="1"/>
  <c r="E32" i="7"/>
  <c r="D33" i="7"/>
  <c r="F31" i="8"/>
  <c r="G31" i="8" s="1"/>
  <c r="D32" i="12"/>
  <c r="H30" i="11"/>
  <c r="J30" i="11"/>
  <c r="I30" i="11"/>
  <c r="E30" i="11"/>
  <c r="D31" i="11"/>
  <c r="F31" i="11"/>
  <c r="G31" i="11" s="1"/>
  <c r="H31" i="10"/>
  <c r="J31" i="10"/>
  <c r="I31" i="10"/>
  <c r="E29" i="6"/>
  <c r="D30" i="6" s="1"/>
  <c r="E32" i="14"/>
  <c r="F33" i="14" s="1"/>
  <c r="G33" i="14" s="1"/>
  <c r="E32" i="10"/>
  <c r="F33" i="10"/>
  <c r="G33" i="10" s="1"/>
  <c r="D33" i="10"/>
  <c r="J32" i="14"/>
  <c r="H32" i="14"/>
  <c r="I32" i="14"/>
  <c r="J32" i="8" l="1"/>
  <c r="I32" i="8"/>
  <c r="H32" i="8"/>
  <c r="J33" i="14"/>
  <c r="I33" i="14"/>
  <c r="H33" i="14"/>
  <c r="E30" i="6"/>
  <c r="F31" i="6"/>
  <c r="G31" i="6" s="1"/>
  <c r="D31" i="6"/>
  <c r="J31" i="13"/>
  <c r="I31" i="13"/>
  <c r="H31" i="13"/>
  <c r="I33" i="10"/>
  <c r="J33" i="10"/>
  <c r="H33" i="10"/>
  <c r="E32" i="12"/>
  <c r="D33" i="12" s="1"/>
  <c r="E33" i="7"/>
  <c r="F34" i="7" s="1"/>
  <c r="G34" i="7" s="1"/>
  <c r="J34" i="9"/>
  <c r="I34" i="9"/>
  <c r="H34" i="9"/>
  <c r="D31" i="13"/>
  <c r="D33" i="14"/>
  <c r="E32" i="8"/>
  <c r="D33" i="8" s="1"/>
  <c r="F33" i="8"/>
  <c r="G33" i="8" s="1"/>
  <c r="J31" i="11"/>
  <c r="I31" i="11"/>
  <c r="H31" i="11"/>
  <c r="I33" i="7"/>
  <c r="H33" i="7"/>
  <c r="J33" i="7"/>
  <c r="E33" i="10"/>
  <c r="F34" i="10" s="1"/>
  <c r="G34" i="10" s="1"/>
  <c r="D34" i="10"/>
  <c r="F30" i="6"/>
  <c r="G30" i="6" s="1"/>
  <c r="E31" i="11"/>
  <c r="F32" i="11"/>
  <c r="G32" i="11" s="1"/>
  <c r="D32" i="11"/>
  <c r="I31" i="8"/>
  <c r="H31" i="8"/>
  <c r="J31" i="8"/>
  <c r="E34" i="9"/>
  <c r="F35" i="9"/>
  <c r="G35" i="9" s="1"/>
  <c r="D35" i="9"/>
  <c r="J34" i="10" l="1"/>
  <c r="I34" i="10"/>
  <c r="H34" i="10"/>
  <c r="E33" i="8"/>
  <c r="F34" i="8"/>
  <c r="G34" i="8" s="1"/>
  <c r="D34" i="8"/>
  <c r="J34" i="7"/>
  <c r="I34" i="7"/>
  <c r="H34" i="7"/>
  <c r="E33" i="12"/>
  <c r="D34" i="12" s="1"/>
  <c r="F33" i="12"/>
  <c r="G33" i="12" s="1"/>
  <c r="E31" i="13"/>
  <c r="D32" i="13"/>
  <c r="F32" i="13"/>
  <c r="G32" i="13" s="1"/>
  <c r="D34" i="7"/>
  <c r="E35" i="9"/>
  <c r="F36" i="9"/>
  <c r="G36" i="9" s="1"/>
  <c r="D36" i="9"/>
  <c r="H31" i="6"/>
  <c r="I31" i="6"/>
  <c r="J31" i="6"/>
  <c r="F34" i="14"/>
  <c r="G34" i="14" s="1"/>
  <c r="E33" i="14"/>
  <c r="D34" i="14" s="1"/>
  <c r="J32" i="11"/>
  <c r="I32" i="11"/>
  <c r="H32" i="11"/>
  <c r="H30" i="6"/>
  <c r="J30" i="6"/>
  <c r="I30" i="6"/>
  <c r="E34" i="10"/>
  <c r="F35" i="10" s="1"/>
  <c r="G35" i="10" s="1"/>
  <c r="H33" i="8"/>
  <c r="I33" i="8"/>
  <c r="J33" i="8"/>
  <c r="J35" i="9"/>
  <c r="I35" i="9"/>
  <c r="H35" i="9"/>
  <c r="E32" i="11"/>
  <c r="F33" i="11" s="1"/>
  <c r="G33" i="11" s="1"/>
  <c r="E31" i="6"/>
  <c r="F32" i="6" s="1"/>
  <c r="G32" i="6" s="1"/>
  <c r="E34" i="14" l="1"/>
  <c r="D35" i="14" s="1"/>
  <c r="F35" i="14"/>
  <c r="G35" i="14" s="1"/>
  <c r="J35" i="10"/>
  <c r="I35" i="10"/>
  <c r="H35" i="10"/>
  <c r="E34" i="12"/>
  <c r="F35" i="12" s="1"/>
  <c r="G35" i="12" s="1"/>
  <c r="D35" i="12"/>
  <c r="J32" i="6"/>
  <c r="I32" i="6"/>
  <c r="H32" i="6"/>
  <c r="J33" i="11"/>
  <c r="I33" i="11"/>
  <c r="H33" i="11"/>
  <c r="E34" i="7"/>
  <c r="D35" i="7" s="1"/>
  <c r="D32" i="6"/>
  <c r="I33" i="12"/>
  <c r="J33" i="12"/>
  <c r="H33" i="12"/>
  <c r="F34" i="12"/>
  <c r="G34" i="12" s="1"/>
  <c r="J34" i="14"/>
  <c r="I34" i="14"/>
  <c r="H34" i="14"/>
  <c r="E36" i="9"/>
  <c r="F37" i="9" s="1"/>
  <c r="G37" i="9" s="1"/>
  <c r="E32" i="13"/>
  <c r="F33" i="13" s="1"/>
  <c r="G33" i="13" s="1"/>
  <c r="E34" i="8"/>
  <c r="F35" i="8" s="1"/>
  <c r="G35" i="8" s="1"/>
  <c r="J36" i="9"/>
  <c r="I36" i="9"/>
  <c r="H36" i="9"/>
  <c r="J32" i="13"/>
  <c r="H32" i="13"/>
  <c r="I32" i="13"/>
  <c r="D33" i="11"/>
  <c r="J34" i="8"/>
  <c r="I34" i="8"/>
  <c r="H34" i="8"/>
  <c r="D35" i="10"/>
  <c r="J33" i="13" l="1"/>
  <c r="I33" i="13"/>
  <c r="H33" i="13"/>
  <c r="J35" i="8"/>
  <c r="I35" i="8"/>
  <c r="H35" i="8"/>
  <c r="J37" i="9"/>
  <c r="I37" i="9"/>
  <c r="H37" i="9"/>
  <c r="E35" i="7"/>
  <c r="F36" i="7" s="1"/>
  <c r="G36" i="7" s="1"/>
  <c r="D36" i="7"/>
  <c r="H35" i="12"/>
  <c r="I35" i="12"/>
  <c r="J35" i="12"/>
  <c r="F36" i="14"/>
  <c r="G36" i="14" s="1"/>
  <c r="E35" i="14"/>
  <c r="D36" i="14" s="1"/>
  <c r="D37" i="9"/>
  <c r="H34" i="12"/>
  <c r="J34" i="12"/>
  <c r="I34" i="12"/>
  <c r="E32" i="6"/>
  <c r="F33" i="6" s="1"/>
  <c r="G33" i="6" s="1"/>
  <c r="F35" i="7"/>
  <c r="G35" i="7" s="1"/>
  <c r="E33" i="11"/>
  <c r="D34" i="11" s="1"/>
  <c r="D33" i="13"/>
  <c r="E35" i="12"/>
  <c r="D36" i="12" s="1"/>
  <c r="D35" i="8"/>
  <c r="E35" i="10"/>
  <c r="D36" i="10" s="1"/>
  <c r="H35" i="14"/>
  <c r="J35" i="14"/>
  <c r="I35" i="14"/>
  <c r="E36" i="12" l="1"/>
  <c r="F37" i="12" s="1"/>
  <c r="G37" i="12" s="1"/>
  <c r="J33" i="6"/>
  <c r="H33" i="6"/>
  <c r="I33" i="6"/>
  <c r="E36" i="10"/>
  <c r="F37" i="10"/>
  <c r="G37" i="10" s="1"/>
  <c r="D37" i="10"/>
  <c r="E34" i="11"/>
  <c r="F35" i="11"/>
  <c r="G35" i="11" s="1"/>
  <c r="D35" i="11"/>
  <c r="E36" i="14"/>
  <c r="F37" i="14" s="1"/>
  <c r="G37" i="14" s="1"/>
  <c r="I36" i="7"/>
  <c r="H36" i="7"/>
  <c r="J36" i="7"/>
  <c r="E33" i="13"/>
  <c r="D34" i="13" s="1"/>
  <c r="F34" i="13"/>
  <c r="G34" i="13" s="1"/>
  <c r="F36" i="12"/>
  <c r="G36" i="12" s="1"/>
  <c r="E37" i="9"/>
  <c r="F38" i="9" s="1"/>
  <c r="G38" i="9" s="1"/>
  <c r="F34" i="11"/>
  <c r="G34" i="11" s="1"/>
  <c r="J36" i="14"/>
  <c r="I36" i="14"/>
  <c r="H36" i="14"/>
  <c r="D37" i="7"/>
  <c r="E36" i="7"/>
  <c r="F37" i="7" s="1"/>
  <c r="G37" i="7" s="1"/>
  <c r="H35" i="7"/>
  <c r="J35" i="7"/>
  <c r="I35" i="7"/>
  <c r="D33" i="6"/>
  <c r="F36" i="10"/>
  <c r="G36" i="10" s="1"/>
  <c r="E35" i="8"/>
  <c r="F36" i="8" s="1"/>
  <c r="G36" i="8" s="1"/>
  <c r="D36" i="8"/>
  <c r="J37" i="7" l="1"/>
  <c r="I37" i="7"/>
  <c r="H37" i="7"/>
  <c r="J36" i="8"/>
  <c r="I36" i="8"/>
  <c r="H36" i="8"/>
  <c r="J38" i="9"/>
  <c r="I38" i="9"/>
  <c r="H38" i="9"/>
  <c r="E34" i="13"/>
  <c r="F35" i="13"/>
  <c r="G35" i="13" s="1"/>
  <c r="D35" i="13"/>
  <c r="J37" i="14"/>
  <c r="I37" i="14"/>
  <c r="H37" i="14"/>
  <c r="J37" i="12"/>
  <c r="I37" i="12"/>
  <c r="H37" i="12"/>
  <c r="J34" i="11"/>
  <c r="H34" i="11"/>
  <c r="I34" i="11"/>
  <c r="I36" i="12"/>
  <c r="J36" i="12"/>
  <c r="H36" i="12"/>
  <c r="D38" i="9"/>
  <c r="J35" i="11"/>
  <c r="I35" i="11"/>
  <c r="H35" i="11"/>
  <c r="J37" i="10"/>
  <c r="I37" i="10"/>
  <c r="H37" i="10"/>
  <c r="F38" i="7"/>
  <c r="G38" i="7" s="1"/>
  <c r="E37" i="7"/>
  <c r="D38" i="7"/>
  <c r="E35" i="11"/>
  <c r="F36" i="11" s="1"/>
  <c r="G36" i="11" s="1"/>
  <c r="E37" i="10"/>
  <c r="F38" i="10"/>
  <c r="G38" i="10" s="1"/>
  <c r="D38" i="10"/>
  <c r="J36" i="10"/>
  <c r="I36" i="10"/>
  <c r="H36" i="10"/>
  <c r="I34" i="13"/>
  <c r="H34" i="13"/>
  <c r="J34" i="13"/>
  <c r="D37" i="14"/>
  <c r="E36" i="8"/>
  <c r="D37" i="8" s="1"/>
  <c r="E33" i="6"/>
  <c r="D34" i="6" s="1"/>
  <c r="F34" i="6"/>
  <c r="G34" i="6" s="1"/>
  <c r="D37" i="12"/>
  <c r="E34" i="6" l="1"/>
  <c r="F35" i="6"/>
  <c r="G35" i="6" s="1"/>
  <c r="D35" i="6"/>
  <c r="E37" i="8"/>
  <c r="F38" i="8"/>
  <c r="G38" i="8" s="1"/>
  <c r="D38" i="8"/>
  <c r="J36" i="11"/>
  <c r="I36" i="11"/>
  <c r="H36" i="11"/>
  <c r="E38" i="9"/>
  <c r="F39" i="9" s="1"/>
  <c r="G39" i="9" s="1"/>
  <c r="D39" i="9"/>
  <c r="I38" i="7"/>
  <c r="H38" i="7"/>
  <c r="J38" i="7"/>
  <c r="J34" i="6"/>
  <c r="I34" i="6"/>
  <c r="H34" i="6"/>
  <c r="E37" i="12"/>
  <c r="F38" i="12" s="1"/>
  <c r="G38" i="12" s="1"/>
  <c r="D38" i="12"/>
  <c r="F37" i="8"/>
  <c r="G37" i="8" s="1"/>
  <c r="E37" i="14"/>
  <c r="F38" i="14" s="1"/>
  <c r="G38" i="14" s="1"/>
  <c r="D38" i="14"/>
  <c r="H35" i="13"/>
  <c r="J35" i="13"/>
  <c r="I35" i="13"/>
  <c r="E35" i="13"/>
  <c r="F36" i="13" s="1"/>
  <c r="G36" i="13" s="1"/>
  <c r="D36" i="13"/>
  <c r="F39" i="10"/>
  <c r="G39" i="10" s="1"/>
  <c r="E38" i="10"/>
  <c r="D39" i="10"/>
  <c r="J38" i="10"/>
  <c r="I38" i="10"/>
  <c r="H38" i="10"/>
  <c r="D36" i="11"/>
  <c r="E38" i="7"/>
  <c r="F39" i="7" s="1"/>
  <c r="G39" i="7" s="1"/>
  <c r="D39" i="7"/>
  <c r="I38" i="14" l="1"/>
  <c r="H38" i="14"/>
  <c r="J38" i="14"/>
  <c r="J36" i="13"/>
  <c r="I36" i="13"/>
  <c r="H36" i="13"/>
  <c r="I38" i="12"/>
  <c r="J38" i="12"/>
  <c r="H38" i="12"/>
  <c r="J39" i="9"/>
  <c r="I39" i="9"/>
  <c r="H39" i="9"/>
  <c r="J39" i="7"/>
  <c r="I39" i="7"/>
  <c r="H39" i="7"/>
  <c r="I37" i="8"/>
  <c r="H37" i="8"/>
  <c r="J37" i="8"/>
  <c r="E38" i="12"/>
  <c r="D39" i="12" s="1"/>
  <c r="F39" i="12"/>
  <c r="G39" i="12" s="1"/>
  <c r="H39" i="10"/>
  <c r="J39" i="10"/>
  <c r="I39" i="10"/>
  <c r="E36" i="11"/>
  <c r="D37" i="11" s="1"/>
  <c r="J38" i="8"/>
  <c r="I38" i="8"/>
  <c r="H38" i="8"/>
  <c r="F37" i="13"/>
  <c r="G37" i="13" s="1"/>
  <c r="E36" i="13"/>
  <c r="D37" i="13" s="1"/>
  <c r="E38" i="14"/>
  <c r="D39" i="14"/>
  <c r="F39" i="14"/>
  <c r="G39" i="14" s="1"/>
  <c r="E39" i="9"/>
  <c r="F40" i="9" s="1"/>
  <c r="G40" i="9" s="1"/>
  <c r="D40" i="9"/>
  <c r="E39" i="7"/>
  <c r="D40" i="7" s="1"/>
  <c r="E38" i="8"/>
  <c r="F39" i="8" s="1"/>
  <c r="G39" i="8" s="1"/>
  <c r="E35" i="6"/>
  <c r="D36" i="6"/>
  <c r="F36" i="6"/>
  <c r="G36" i="6" s="1"/>
  <c r="E39" i="10"/>
  <c r="F40" i="10" s="1"/>
  <c r="G40" i="10" s="1"/>
  <c r="D40" i="10"/>
  <c r="J35" i="6"/>
  <c r="I35" i="6"/>
  <c r="H35" i="6"/>
  <c r="E37" i="13" l="1"/>
  <c r="F38" i="13"/>
  <c r="G38" i="13" s="1"/>
  <c r="D38" i="13"/>
  <c r="E39" i="12"/>
  <c r="F40" i="12" s="1"/>
  <c r="G40" i="12" s="1"/>
  <c r="E37" i="11"/>
  <c r="F38" i="11" s="1"/>
  <c r="G38" i="11" s="1"/>
  <c r="J40" i="10"/>
  <c r="I40" i="10"/>
  <c r="H40" i="10"/>
  <c r="J39" i="8"/>
  <c r="I39" i="8"/>
  <c r="H39" i="8"/>
  <c r="E40" i="7"/>
  <c r="F41" i="7" s="1"/>
  <c r="G41" i="7" s="1"/>
  <c r="I40" i="9"/>
  <c r="H40" i="9"/>
  <c r="J40" i="9"/>
  <c r="F37" i="11"/>
  <c r="G37" i="11" s="1"/>
  <c r="J37" i="13"/>
  <c r="I37" i="13"/>
  <c r="H37" i="13"/>
  <c r="E40" i="10"/>
  <c r="F41" i="10" s="1"/>
  <c r="G41" i="10" s="1"/>
  <c r="D41" i="10"/>
  <c r="E36" i="6"/>
  <c r="F37" i="6" s="1"/>
  <c r="G37" i="6" s="1"/>
  <c r="F40" i="7"/>
  <c r="G40" i="7" s="1"/>
  <c r="I39" i="12"/>
  <c r="J39" i="12"/>
  <c r="H39" i="12"/>
  <c r="H36" i="6"/>
  <c r="J36" i="6"/>
  <c r="I36" i="6"/>
  <c r="D39" i="8"/>
  <c r="E40" i="9"/>
  <c r="F41" i="9" s="1"/>
  <c r="G41" i="9" s="1"/>
  <c r="D41" i="9"/>
  <c r="I39" i="14"/>
  <c r="H39" i="14"/>
  <c r="J39" i="14"/>
  <c r="E39" i="14"/>
  <c r="F40" i="14" s="1"/>
  <c r="G40" i="14" s="1"/>
  <c r="D40" i="14"/>
  <c r="J41" i="10" l="1"/>
  <c r="I41" i="10"/>
  <c r="H41" i="10"/>
  <c r="J41" i="9"/>
  <c r="I41" i="9"/>
  <c r="H41" i="9"/>
  <c r="J41" i="7"/>
  <c r="I41" i="7"/>
  <c r="H41" i="7"/>
  <c r="I38" i="11"/>
  <c r="H38" i="11"/>
  <c r="J38" i="11"/>
  <c r="J37" i="6"/>
  <c r="I37" i="6"/>
  <c r="H37" i="6"/>
  <c r="J40" i="14"/>
  <c r="I40" i="14"/>
  <c r="H40" i="14"/>
  <c r="J40" i="12"/>
  <c r="H40" i="12"/>
  <c r="I40" i="12"/>
  <c r="J40" i="7"/>
  <c r="I40" i="7"/>
  <c r="H40" i="7"/>
  <c r="D37" i="6"/>
  <c r="E40" i="14"/>
  <c r="D41" i="14" s="1"/>
  <c r="E41" i="10"/>
  <c r="F42" i="10" s="1"/>
  <c r="G42" i="10" s="1"/>
  <c r="D42" i="10"/>
  <c r="F42" i="9"/>
  <c r="G42" i="9" s="1"/>
  <c r="E41" i="9"/>
  <c r="D42" i="9"/>
  <c r="I37" i="11"/>
  <c r="J37" i="11"/>
  <c r="H37" i="11"/>
  <c r="D38" i="11"/>
  <c r="D40" i="12"/>
  <c r="D41" i="7"/>
  <c r="H38" i="13"/>
  <c r="J38" i="13"/>
  <c r="I38" i="13"/>
  <c r="E39" i="8"/>
  <c r="F40" i="8" s="1"/>
  <c r="G40" i="8" s="1"/>
  <c r="E38" i="13"/>
  <c r="F39" i="13" s="1"/>
  <c r="G39" i="13" s="1"/>
  <c r="D39" i="13"/>
  <c r="E41" i="14" l="1"/>
  <c r="F42" i="14"/>
  <c r="G42" i="14" s="1"/>
  <c r="D42" i="14"/>
  <c r="J42" i="10"/>
  <c r="I42" i="10"/>
  <c r="H42" i="10"/>
  <c r="I39" i="13"/>
  <c r="H39" i="13"/>
  <c r="J39" i="13"/>
  <c r="J40" i="8"/>
  <c r="I40" i="8"/>
  <c r="H40" i="8"/>
  <c r="E42" i="10"/>
  <c r="D43" i="10" s="1"/>
  <c r="E37" i="6"/>
  <c r="F38" i="6" s="1"/>
  <c r="G38" i="6" s="1"/>
  <c r="D40" i="8"/>
  <c r="J42" i="9"/>
  <c r="I42" i="9"/>
  <c r="H42" i="9"/>
  <c r="F41" i="14"/>
  <c r="G41" i="14" s="1"/>
  <c r="E39" i="13"/>
  <c r="F40" i="13" s="1"/>
  <c r="G40" i="13" s="1"/>
  <c r="E40" i="12"/>
  <c r="D41" i="12" s="1"/>
  <c r="E38" i="11"/>
  <c r="D39" i="11"/>
  <c r="F39" i="11"/>
  <c r="G39" i="11" s="1"/>
  <c r="E41" i="7"/>
  <c r="F42" i="7"/>
  <c r="G42" i="7" s="1"/>
  <c r="D42" i="7"/>
  <c r="E42" i="9"/>
  <c r="F43" i="9" s="1"/>
  <c r="G43" i="9" s="1"/>
  <c r="D43" i="9"/>
  <c r="I43" i="9" l="1"/>
  <c r="H43" i="9"/>
  <c r="J43" i="9"/>
  <c r="E41" i="12"/>
  <c r="D42" i="12"/>
  <c r="F42" i="12"/>
  <c r="G42" i="12" s="1"/>
  <c r="J40" i="13"/>
  <c r="I40" i="13"/>
  <c r="H40" i="13"/>
  <c r="J38" i="6"/>
  <c r="I38" i="6"/>
  <c r="H38" i="6"/>
  <c r="E43" i="10"/>
  <c r="F44" i="10" s="1"/>
  <c r="G44" i="10" s="1"/>
  <c r="E39" i="11"/>
  <c r="F40" i="11" s="1"/>
  <c r="G40" i="11" s="1"/>
  <c r="F41" i="12"/>
  <c r="G41" i="12" s="1"/>
  <c r="D40" i="13"/>
  <c r="D38" i="6"/>
  <c r="F43" i="10"/>
  <c r="G43" i="10" s="1"/>
  <c r="J39" i="11"/>
  <c r="I39" i="11"/>
  <c r="H39" i="11"/>
  <c r="D41" i="8"/>
  <c r="E40" i="8"/>
  <c r="F41" i="8" s="1"/>
  <c r="G41" i="8" s="1"/>
  <c r="J41" i="14"/>
  <c r="I41" i="14"/>
  <c r="H41" i="14"/>
  <c r="F44" i="9"/>
  <c r="G44" i="9" s="1"/>
  <c r="E43" i="9"/>
  <c r="D44" i="9"/>
  <c r="E42" i="7"/>
  <c r="F43" i="7"/>
  <c r="G43" i="7" s="1"/>
  <c r="D43" i="7"/>
  <c r="E42" i="14"/>
  <c r="F43" i="14"/>
  <c r="G43" i="14" s="1"/>
  <c r="D43" i="14"/>
  <c r="I42" i="7"/>
  <c r="J42" i="7"/>
  <c r="H42" i="7"/>
  <c r="I42" i="14"/>
  <c r="H42" i="14"/>
  <c r="J42" i="14"/>
  <c r="J41" i="8" l="1"/>
  <c r="I41" i="8"/>
  <c r="H41" i="8"/>
  <c r="J40" i="11"/>
  <c r="H40" i="11"/>
  <c r="I40" i="11"/>
  <c r="J44" i="10"/>
  <c r="I44" i="10"/>
  <c r="H44" i="10"/>
  <c r="I44" i="9"/>
  <c r="H44" i="9"/>
  <c r="J44" i="9"/>
  <c r="J43" i="10"/>
  <c r="I43" i="10"/>
  <c r="H43" i="10"/>
  <c r="I41" i="12"/>
  <c r="H41" i="12"/>
  <c r="J41" i="12"/>
  <c r="E40" i="13"/>
  <c r="F41" i="13" s="1"/>
  <c r="G41" i="13" s="1"/>
  <c r="D41" i="13"/>
  <c r="E38" i="6"/>
  <c r="F39" i="6" s="1"/>
  <c r="G39" i="6" s="1"/>
  <c r="D40" i="11"/>
  <c r="J43" i="14"/>
  <c r="I43" i="14"/>
  <c r="H43" i="14"/>
  <c r="E42" i="12"/>
  <c r="F43" i="12" s="1"/>
  <c r="G43" i="12" s="1"/>
  <c r="D43" i="12"/>
  <c r="E41" i="8"/>
  <c r="D42" i="8" s="1"/>
  <c r="D44" i="10"/>
  <c r="E43" i="14"/>
  <c r="F44" i="14" s="1"/>
  <c r="G44" i="14" s="1"/>
  <c r="I42" i="12"/>
  <c r="J42" i="12"/>
  <c r="H42" i="12"/>
  <c r="E43" i="7"/>
  <c r="F44" i="7" s="1"/>
  <c r="G44" i="7" s="1"/>
  <c r="J43" i="7"/>
  <c r="I43" i="7"/>
  <c r="H43" i="7"/>
  <c r="F45" i="9"/>
  <c r="G45" i="9" s="1"/>
  <c r="E44" i="9"/>
  <c r="D45" i="9"/>
  <c r="E42" i="8" l="1"/>
  <c r="F43" i="8" s="1"/>
  <c r="G43" i="8" s="1"/>
  <c r="D43" i="8"/>
  <c r="J44" i="14"/>
  <c r="I44" i="14"/>
  <c r="H44" i="14"/>
  <c r="J41" i="13"/>
  <c r="I41" i="13"/>
  <c r="H41" i="13"/>
  <c r="J43" i="12"/>
  <c r="H43" i="12"/>
  <c r="I43" i="12"/>
  <c r="I39" i="6"/>
  <c r="J39" i="6"/>
  <c r="H39" i="6"/>
  <c r="J44" i="7"/>
  <c r="I44" i="7"/>
  <c r="H44" i="7"/>
  <c r="E43" i="12"/>
  <c r="F44" i="12" s="1"/>
  <c r="G44" i="12" s="1"/>
  <c r="E41" i="13"/>
  <c r="F42" i="13" s="1"/>
  <c r="G42" i="13" s="1"/>
  <c r="D42" i="13"/>
  <c r="D39" i="6"/>
  <c r="E40" i="11"/>
  <c r="F41" i="11" s="1"/>
  <c r="G41" i="11" s="1"/>
  <c r="D41" i="11"/>
  <c r="E45" i="9"/>
  <c r="F46" i="9" s="1"/>
  <c r="G46" i="9" s="1"/>
  <c r="D44" i="7"/>
  <c r="D44" i="14"/>
  <c r="F42" i="8"/>
  <c r="G42" i="8" s="1"/>
  <c r="J45" i="9"/>
  <c r="I45" i="9"/>
  <c r="H45" i="9"/>
  <c r="E44" i="10"/>
  <c r="D45" i="10" s="1"/>
  <c r="F45" i="10"/>
  <c r="G45" i="10" s="1"/>
  <c r="J46" i="9" l="1"/>
  <c r="I46" i="9"/>
  <c r="H46" i="9"/>
  <c r="E45" i="10"/>
  <c r="F46" i="10" s="1"/>
  <c r="G46" i="10" s="1"/>
  <c r="D46" i="10"/>
  <c r="H41" i="11"/>
  <c r="J41" i="11"/>
  <c r="I41" i="11"/>
  <c r="I42" i="13"/>
  <c r="H42" i="13"/>
  <c r="J42" i="13"/>
  <c r="J44" i="12"/>
  <c r="I44" i="12"/>
  <c r="H44" i="12"/>
  <c r="H43" i="8"/>
  <c r="J43" i="8"/>
  <c r="I43" i="8"/>
  <c r="E44" i="7"/>
  <c r="F45" i="7" s="1"/>
  <c r="G45" i="7" s="1"/>
  <c r="E39" i="6"/>
  <c r="D40" i="6" s="1"/>
  <c r="E41" i="11"/>
  <c r="F42" i="11" s="1"/>
  <c r="G42" i="11" s="1"/>
  <c r="D42" i="11"/>
  <c r="E42" i="13"/>
  <c r="F43" i="13" s="1"/>
  <c r="G43" i="13" s="1"/>
  <c r="D44" i="12"/>
  <c r="H45" i="10"/>
  <c r="J45" i="10"/>
  <c r="I45" i="10"/>
  <c r="D46" i="9"/>
  <c r="E43" i="8"/>
  <c r="F44" i="8" s="1"/>
  <c r="G44" i="8" s="1"/>
  <c r="I42" i="8"/>
  <c r="H42" i="8"/>
  <c r="J42" i="8"/>
  <c r="E44" i="14"/>
  <c r="D45" i="14" s="1"/>
  <c r="I44" i="8" l="1"/>
  <c r="H44" i="8"/>
  <c r="J44" i="8"/>
  <c r="J42" i="11"/>
  <c r="I42" i="11"/>
  <c r="H42" i="11"/>
  <c r="E45" i="14"/>
  <c r="F46" i="14"/>
  <c r="G46" i="14" s="1"/>
  <c r="D46" i="14"/>
  <c r="J43" i="13"/>
  <c r="I43" i="13"/>
  <c r="H43" i="13"/>
  <c r="D41" i="6"/>
  <c r="E40" i="6"/>
  <c r="F41" i="6" s="1"/>
  <c r="G41" i="6" s="1"/>
  <c r="J45" i="7"/>
  <c r="I45" i="7"/>
  <c r="H45" i="7"/>
  <c r="I46" i="10"/>
  <c r="H46" i="10"/>
  <c r="J46" i="10"/>
  <c r="D43" i="13"/>
  <c r="F40" i="6"/>
  <c r="G40" i="6" s="1"/>
  <c r="F45" i="14"/>
  <c r="G45" i="14" s="1"/>
  <c r="E46" i="10"/>
  <c r="F47" i="10"/>
  <c r="G47" i="10" s="1"/>
  <c r="D47" i="10"/>
  <c r="E42" i="11"/>
  <c r="F43" i="11" s="1"/>
  <c r="G43" i="11" s="1"/>
  <c r="D43" i="11"/>
  <c r="D44" i="8"/>
  <c r="E44" i="12"/>
  <c r="F45" i="12" s="1"/>
  <c r="G45" i="12" s="1"/>
  <c r="D45" i="7"/>
  <c r="E46" i="9"/>
  <c r="F47" i="9"/>
  <c r="G47" i="9" s="1"/>
  <c r="D47" i="9"/>
  <c r="J45" i="12" l="1"/>
  <c r="I45" i="12"/>
  <c r="H45" i="12"/>
  <c r="H43" i="11"/>
  <c r="J43" i="11"/>
  <c r="I43" i="11"/>
  <c r="H41" i="6"/>
  <c r="J41" i="6"/>
  <c r="I41" i="6"/>
  <c r="J45" i="14"/>
  <c r="I45" i="14"/>
  <c r="H45" i="14"/>
  <c r="E43" i="11"/>
  <c r="F44" i="11"/>
  <c r="G44" i="11" s="1"/>
  <c r="D44" i="11"/>
  <c r="H47" i="10"/>
  <c r="J47" i="10"/>
  <c r="I47" i="10"/>
  <c r="I40" i="6"/>
  <c r="H40" i="6"/>
  <c r="J40" i="6"/>
  <c r="E41" i="6"/>
  <c r="F42" i="6"/>
  <c r="G42" i="6" s="1"/>
  <c r="D42" i="6"/>
  <c r="J46" i="14"/>
  <c r="I46" i="14"/>
  <c r="H46" i="14"/>
  <c r="E47" i="9"/>
  <c r="F48" i="9" s="1"/>
  <c r="G48" i="9" s="1"/>
  <c r="F45" i="8"/>
  <c r="G45" i="8" s="1"/>
  <c r="D45" i="8"/>
  <c r="E44" i="8"/>
  <c r="E47" i="10"/>
  <c r="F48" i="10"/>
  <c r="G48" i="10" s="1"/>
  <c r="D48" i="10"/>
  <c r="E43" i="13"/>
  <c r="F44" i="13" s="1"/>
  <c r="G44" i="13" s="1"/>
  <c r="D44" i="13"/>
  <c r="E46" i="14"/>
  <c r="F47" i="14" s="1"/>
  <c r="G47" i="14" s="1"/>
  <c r="J47" i="9"/>
  <c r="I47" i="9"/>
  <c r="H47" i="9"/>
  <c r="E45" i="7"/>
  <c r="F46" i="7" s="1"/>
  <c r="G46" i="7" s="1"/>
  <c r="D46" i="7"/>
  <c r="D45" i="12"/>
  <c r="J48" i="9" l="1"/>
  <c r="I48" i="9"/>
  <c r="H48" i="9"/>
  <c r="J46" i="7"/>
  <c r="I46" i="7"/>
  <c r="H46" i="7"/>
  <c r="J47" i="14"/>
  <c r="I47" i="14"/>
  <c r="H47" i="14"/>
  <c r="J44" i="13"/>
  <c r="I44" i="13"/>
  <c r="H44" i="13"/>
  <c r="E45" i="8"/>
  <c r="F46" i="8" s="1"/>
  <c r="G46" i="8" s="1"/>
  <c r="D48" i="9"/>
  <c r="J45" i="8"/>
  <c r="I45" i="8"/>
  <c r="H45" i="8"/>
  <c r="H42" i="6"/>
  <c r="I42" i="6"/>
  <c r="J42" i="6"/>
  <c r="E45" i="12"/>
  <c r="F46" i="12" s="1"/>
  <c r="G46" i="12" s="1"/>
  <c r="E46" i="7"/>
  <c r="F47" i="7" s="1"/>
  <c r="G47" i="7" s="1"/>
  <c r="E42" i="6"/>
  <c r="D43" i="6" s="1"/>
  <c r="D47" i="14"/>
  <c r="J44" i="11"/>
  <c r="I44" i="11"/>
  <c r="H44" i="11"/>
  <c r="E44" i="13"/>
  <c r="F45" i="13" s="1"/>
  <c r="G45" i="13" s="1"/>
  <c r="D45" i="13"/>
  <c r="E48" i="10"/>
  <c r="F49" i="10" s="1"/>
  <c r="G49" i="10" s="1"/>
  <c r="E44" i="11"/>
  <c r="F45" i="11" s="1"/>
  <c r="G45" i="11" s="1"/>
  <c r="D45" i="11"/>
  <c r="J48" i="10"/>
  <c r="I48" i="10"/>
  <c r="H48" i="10"/>
  <c r="J49" i="10" l="1"/>
  <c r="I49" i="10"/>
  <c r="H49" i="10"/>
  <c r="E43" i="6"/>
  <c r="F44" i="6"/>
  <c r="G44" i="6" s="1"/>
  <c r="D44" i="6"/>
  <c r="H45" i="11"/>
  <c r="J45" i="11"/>
  <c r="I45" i="11"/>
  <c r="I45" i="13"/>
  <c r="H45" i="13"/>
  <c r="J45" i="13"/>
  <c r="I47" i="7"/>
  <c r="J47" i="7"/>
  <c r="H47" i="7"/>
  <c r="J46" i="12"/>
  <c r="I46" i="12"/>
  <c r="H46" i="12"/>
  <c r="I46" i="8"/>
  <c r="H46" i="8"/>
  <c r="J46" i="8"/>
  <c r="F43" i="6"/>
  <c r="G43" i="6" s="1"/>
  <c r="D47" i="7"/>
  <c r="E47" i="14"/>
  <c r="F48" i="14" s="1"/>
  <c r="G48" i="14" s="1"/>
  <c r="D48" i="14"/>
  <c r="D46" i="12"/>
  <c r="D49" i="9"/>
  <c r="E48" i="9"/>
  <c r="F49" i="9" s="1"/>
  <c r="G49" i="9" s="1"/>
  <c r="D46" i="8"/>
  <c r="F46" i="11"/>
  <c r="G46" i="11" s="1"/>
  <c r="E45" i="11"/>
  <c r="D46" i="11"/>
  <c r="D49" i="10"/>
  <c r="E45" i="13"/>
  <c r="F46" i="13"/>
  <c r="G46" i="13" s="1"/>
  <c r="D46" i="13"/>
  <c r="I49" i="9" l="1"/>
  <c r="H49" i="9"/>
  <c r="J49" i="9"/>
  <c r="J48" i="14"/>
  <c r="I48" i="14"/>
  <c r="H48" i="14"/>
  <c r="E49" i="9"/>
  <c r="F50" i="9" s="1"/>
  <c r="G50" i="9" s="1"/>
  <c r="J46" i="11"/>
  <c r="I46" i="11"/>
  <c r="H46" i="11"/>
  <c r="E46" i="12"/>
  <c r="F47" i="12" s="1"/>
  <c r="G47" i="12" s="1"/>
  <c r="E46" i="8"/>
  <c r="D47" i="8" s="1"/>
  <c r="F47" i="8"/>
  <c r="G47" i="8" s="1"/>
  <c r="E48" i="14"/>
  <c r="D49" i="14" s="1"/>
  <c r="E47" i="7"/>
  <c r="D48" i="7" s="1"/>
  <c r="F48" i="7"/>
  <c r="G48" i="7" s="1"/>
  <c r="E44" i="6"/>
  <c r="F45" i="6"/>
  <c r="G45" i="6" s="1"/>
  <c r="D45" i="6"/>
  <c r="J44" i="6"/>
  <c r="I44" i="6"/>
  <c r="H44" i="6"/>
  <c r="E46" i="11"/>
  <c r="D47" i="11" s="1"/>
  <c r="J43" i="6"/>
  <c r="I43" i="6"/>
  <c r="H43" i="6"/>
  <c r="E46" i="13"/>
  <c r="F47" i="13" s="1"/>
  <c r="G47" i="13" s="1"/>
  <c r="D47" i="13"/>
  <c r="J46" i="13"/>
  <c r="I46" i="13"/>
  <c r="H46" i="13"/>
  <c r="E49" i="10"/>
  <c r="F50" i="10" s="1"/>
  <c r="G50" i="10" s="1"/>
  <c r="J47" i="13" l="1"/>
  <c r="I47" i="13"/>
  <c r="H47" i="13"/>
  <c r="E48" i="7"/>
  <c r="F49" i="7" s="1"/>
  <c r="G49" i="7" s="1"/>
  <c r="J50" i="10"/>
  <c r="I50" i="10"/>
  <c r="H50" i="10"/>
  <c r="E47" i="11"/>
  <c r="D48" i="11" s="1"/>
  <c r="E49" i="14"/>
  <c r="F50" i="14" s="1"/>
  <c r="G50" i="14" s="1"/>
  <c r="F48" i="8"/>
  <c r="G48" i="8" s="1"/>
  <c r="E47" i="8"/>
  <c r="D48" i="8"/>
  <c r="I47" i="12"/>
  <c r="J47" i="12"/>
  <c r="H47" i="12"/>
  <c r="J50" i="9"/>
  <c r="I50" i="9"/>
  <c r="H50" i="9"/>
  <c r="F47" i="11"/>
  <c r="G47" i="11" s="1"/>
  <c r="F49" i="14"/>
  <c r="G49" i="14" s="1"/>
  <c r="D47" i="12"/>
  <c r="J45" i="6"/>
  <c r="I45" i="6"/>
  <c r="H45" i="6"/>
  <c r="J47" i="8"/>
  <c r="I47" i="8"/>
  <c r="H47" i="8"/>
  <c r="D50" i="9"/>
  <c r="E47" i="13"/>
  <c r="F48" i="13" s="1"/>
  <c r="G48" i="13" s="1"/>
  <c r="E45" i="6"/>
  <c r="D46" i="6" s="1"/>
  <c r="D50" i="10"/>
  <c r="J48" i="7"/>
  <c r="I48" i="7"/>
  <c r="H48" i="7"/>
  <c r="J48" i="13" l="1"/>
  <c r="I48" i="13"/>
  <c r="H48" i="13"/>
  <c r="J50" i="14"/>
  <c r="I50" i="14"/>
  <c r="H50" i="14"/>
  <c r="E46" i="6"/>
  <c r="F47" i="6" s="1"/>
  <c r="G47" i="6" s="1"/>
  <c r="D47" i="6"/>
  <c r="E48" i="11"/>
  <c r="D49" i="11" s="1"/>
  <c r="J49" i="7"/>
  <c r="I49" i="7"/>
  <c r="H49" i="7"/>
  <c r="J49" i="14"/>
  <c r="I49" i="14"/>
  <c r="H49" i="14"/>
  <c r="F48" i="12"/>
  <c r="G48" i="12" s="1"/>
  <c r="E47" i="12"/>
  <c r="D48" i="12"/>
  <c r="H47" i="11"/>
  <c r="J47" i="11"/>
  <c r="I47" i="11"/>
  <c r="I48" i="8"/>
  <c r="H48" i="8"/>
  <c r="J48" i="8"/>
  <c r="E48" i="8"/>
  <c r="D49" i="8" s="1"/>
  <c r="D50" i="14"/>
  <c r="F48" i="11"/>
  <c r="G48" i="11" s="1"/>
  <c r="F46" i="6"/>
  <c r="G46" i="6" s="1"/>
  <c r="D48" i="13"/>
  <c r="E50" i="10"/>
  <c r="F51" i="10"/>
  <c r="G51" i="10" s="1"/>
  <c r="D51" i="10"/>
  <c r="D49" i="7"/>
  <c r="E50" i="9"/>
  <c r="F51" i="9" s="1"/>
  <c r="G51" i="9" s="1"/>
  <c r="E49" i="8" l="1"/>
  <c r="F50" i="8" s="1"/>
  <c r="G50" i="8" s="1"/>
  <c r="D50" i="8"/>
  <c r="E49" i="11"/>
  <c r="F50" i="11" s="1"/>
  <c r="G50" i="11" s="1"/>
  <c r="J47" i="6"/>
  <c r="I47" i="6"/>
  <c r="H47" i="6"/>
  <c r="J51" i="9"/>
  <c r="I51" i="9"/>
  <c r="H51" i="9"/>
  <c r="D51" i="14"/>
  <c r="E50" i="14"/>
  <c r="F51" i="14" s="1"/>
  <c r="G51" i="14" s="1"/>
  <c r="E48" i="12"/>
  <c r="D49" i="12" s="1"/>
  <c r="F49" i="8"/>
  <c r="G49" i="8" s="1"/>
  <c r="J48" i="12"/>
  <c r="I48" i="12"/>
  <c r="H48" i="12"/>
  <c r="F49" i="11"/>
  <c r="G49" i="11" s="1"/>
  <c r="D51" i="9"/>
  <c r="I48" i="11"/>
  <c r="J48" i="11"/>
  <c r="H48" i="11"/>
  <c r="F48" i="6"/>
  <c r="G48" i="6" s="1"/>
  <c r="E47" i="6"/>
  <c r="D48" i="6"/>
  <c r="E49" i="7"/>
  <c r="D50" i="7" s="1"/>
  <c r="F50" i="7"/>
  <c r="G50" i="7" s="1"/>
  <c r="E51" i="10"/>
  <c r="F52" i="10" s="1"/>
  <c r="G52" i="10" s="1"/>
  <c r="D52" i="10"/>
  <c r="J51" i="10"/>
  <c r="I51" i="10"/>
  <c r="H51" i="10"/>
  <c r="E48" i="13"/>
  <c r="D49" i="13" s="1"/>
  <c r="I46" i="6"/>
  <c r="J46" i="6"/>
  <c r="H46" i="6"/>
  <c r="J52" i="10" l="1"/>
  <c r="I52" i="10"/>
  <c r="H52" i="10"/>
  <c r="E50" i="7"/>
  <c r="D51" i="7" s="1"/>
  <c r="J51" i="14"/>
  <c r="I51" i="14"/>
  <c r="H51" i="14"/>
  <c r="E49" i="13"/>
  <c r="F50" i="13" s="1"/>
  <c r="G50" i="13" s="1"/>
  <c r="D50" i="13"/>
  <c r="F50" i="12"/>
  <c r="G50" i="12" s="1"/>
  <c r="E49" i="12"/>
  <c r="D50" i="12"/>
  <c r="I50" i="11"/>
  <c r="H50" i="11"/>
  <c r="J50" i="11"/>
  <c r="I50" i="8"/>
  <c r="H50" i="8"/>
  <c r="J50" i="8"/>
  <c r="J48" i="6"/>
  <c r="I48" i="6"/>
  <c r="H48" i="6"/>
  <c r="E48" i="6"/>
  <c r="F49" i="6" s="1"/>
  <c r="G49" i="6" s="1"/>
  <c r="J50" i="7"/>
  <c r="I50" i="7"/>
  <c r="H50" i="7"/>
  <c r="E51" i="9"/>
  <c r="D52" i="9" s="1"/>
  <c r="F49" i="12"/>
  <c r="G49" i="12" s="1"/>
  <c r="J49" i="11"/>
  <c r="I49" i="11"/>
  <c r="H49" i="11"/>
  <c r="E51" i="14"/>
  <c r="F52" i="14" s="1"/>
  <c r="G52" i="14" s="1"/>
  <c r="F49" i="13"/>
  <c r="G49" i="13" s="1"/>
  <c r="J49" i="8"/>
  <c r="I49" i="8"/>
  <c r="H49" i="8"/>
  <c r="D50" i="11"/>
  <c r="E52" i="10"/>
  <c r="F53" i="10"/>
  <c r="G53" i="10" s="1"/>
  <c r="D53" i="10"/>
  <c r="E50" i="8"/>
  <c r="F51" i="8"/>
  <c r="G51" i="8" s="1"/>
  <c r="D51" i="8"/>
  <c r="J52" i="14" l="1"/>
  <c r="I52" i="14"/>
  <c r="H52" i="14"/>
  <c r="J49" i="6"/>
  <c r="I49" i="6"/>
  <c r="H49" i="6"/>
  <c r="J50" i="13"/>
  <c r="H50" i="13"/>
  <c r="I50" i="13"/>
  <c r="E52" i="9"/>
  <c r="D53" i="9" s="1"/>
  <c r="E51" i="7"/>
  <c r="F52" i="7"/>
  <c r="G52" i="7" s="1"/>
  <c r="D52" i="7"/>
  <c r="I51" i="8"/>
  <c r="H51" i="8"/>
  <c r="J51" i="8"/>
  <c r="J53" i="10"/>
  <c r="I53" i="10"/>
  <c r="H53" i="10"/>
  <c r="F52" i="9"/>
  <c r="G52" i="9" s="1"/>
  <c r="D49" i="6"/>
  <c r="E53" i="10"/>
  <c r="F54" i="10" s="1"/>
  <c r="G54" i="10" s="1"/>
  <c r="E50" i="11"/>
  <c r="F51" i="11" s="1"/>
  <c r="G51" i="11" s="1"/>
  <c r="E51" i="8"/>
  <c r="F52" i="8" s="1"/>
  <c r="G52" i="8" s="1"/>
  <c r="D52" i="8"/>
  <c r="E50" i="13"/>
  <c r="F51" i="13" s="1"/>
  <c r="G51" i="13" s="1"/>
  <c r="J49" i="13"/>
  <c r="I49" i="13"/>
  <c r="H49" i="13"/>
  <c r="E50" i="12"/>
  <c r="F51" i="12" s="1"/>
  <c r="G51" i="12" s="1"/>
  <c r="I50" i="12"/>
  <c r="H50" i="12"/>
  <c r="J50" i="12"/>
  <c r="D52" i="14"/>
  <c r="F51" i="7"/>
  <c r="G51" i="7" s="1"/>
  <c r="J49" i="12"/>
  <c r="H49" i="12"/>
  <c r="I49" i="12"/>
  <c r="H52" i="8" l="1"/>
  <c r="J52" i="8"/>
  <c r="I52" i="8"/>
  <c r="J51" i="12"/>
  <c r="H51" i="12"/>
  <c r="I51" i="12"/>
  <c r="J54" i="10"/>
  <c r="I54" i="10"/>
  <c r="H54" i="10"/>
  <c r="J51" i="13"/>
  <c r="I51" i="13"/>
  <c r="H51" i="13"/>
  <c r="J51" i="11"/>
  <c r="I51" i="11"/>
  <c r="H51" i="11"/>
  <c r="E53" i="9"/>
  <c r="F54" i="9" s="1"/>
  <c r="G54" i="9" s="1"/>
  <c r="D51" i="11"/>
  <c r="D54" i="10"/>
  <c r="J52" i="9"/>
  <c r="I52" i="9"/>
  <c r="H52" i="9"/>
  <c r="J51" i="7"/>
  <c r="I51" i="7"/>
  <c r="H51" i="7"/>
  <c r="J52" i="7"/>
  <c r="I52" i="7"/>
  <c r="H52" i="7"/>
  <c r="F53" i="9"/>
  <c r="G53" i="9" s="1"/>
  <c r="D51" i="12"/>
  <c r="F53" i="7"/>
  <c r="G53" i="7" s="1"/>
  <c r="E52" i="7"/>
  <c r="D53" i="7" s="1"/>
  <c r="E52" i="8"/>
  <c r="D53" i="8" s="1"/>
  <c r="E49" i="6"/>
  <c r="D50" i="6" s="1"/>
  <c r="E52" i="14"/>
  <c r="F53" i="14"/>
  <c r="G53" i="14" s="1"/>
  <c r="D53" i="14"/>
  <c r="D51" i="13"/>
  <c r="E53" i="8" l="1"/>
  <c r="D54" i="8" s="1"/>
  <c r="E53" i="7"/>
  <c r="F54" i="7" s="1"/>
  <c r="G54" i="7" s="1"/>
  <c r="J54" i="9"/>
  <c r="I54" i="9"/>
  <c r="H54" i="9"/>
  <c r="E50" i="6"/>
  <c r="D51" i="6" s="1"/>
  <c r="H53" i="9"/>
  <c r="J53" i="9"/>
  <c r="I53" i="9"/>
  <c r="E54" i="10"/>
  <c r="F55" i="10"/>
  <c r="G55" i="10" s="1"/>
  <c r="D55" i="10"/>
  <c r="E51" i="12"/>
  <c r="F52" i="12" s="1"/>
  <c r="G52" i="12" s="1"/>
  <c r="D52" i="12"/>
  <c r="D54" i="9"/>
  <c r="E51" i="13"/>
  <c r="F52" i="13" s="1"/>
  <c r="G52" i="13" s="1"/>
  <c r="D52" i="13"/>
  <c r="F50" i="6"/>
  <c r="G50" i="6" s="1"/>
  <c r="J53" i="7"/>
  <c r="I53" i="7"/>
  <c r="H53" i="7"/>
  <c r="E51" i="11"/>
  <c r="F52" i="11"/>
  <c r="G52" i="11" s="1"/>
  <c r="D52" i="11"/>
  <c r="E53" i="14"/>
  <c r="F54" i="14" s="1"/>
  <c r="G54" i="14" s="1"/>
  <c r="D54" i="14"/>
  <c r="J53" i="14"/>
  <c r="I53" i="14"/>
  <c r="H53" i="14"/>
  <c r="F53" i="8"/>
  <c r="G53" i="8" s="1"/>
  <c r="J54" i="14" l="1"/>
  <c r="I54" i="14"/>
  <c r="H54" i="14"/>
  <c r="J52" i="13"/>
  <c r="I52" i="13"/>
  <c r="H52" i="13"/>
  <c r="J54" i="7"/>
  <c r="I54" i="7"/>
  <c r="H54" i="7"/>
  <c r="H52" i="12"/>
  <c r="I52" i="12"/>
  <c r="J52" i="12"/>
  <c r="E51" i="6"/>
  <c r="F52" i="6" s="1"/>
  <c r="G52" i="6" s="1"/>
  <c r="E54" i="8"/>
  <c r="F55" i="8"/>
  <c r="G55" i="8" s="1"/>
  <c r="D55" i="8"/>
  <c r="H52" i="11"/>
  <c r="J52" i="11"/>
  <c r="I52" i="11"/>
  <c r="E54" i="9"/>
  <c r="D55" i="9" s="1"/>
  <c r="E52" i="13"/>
  <c r="D53" i="13" s="1"/>
  <c r="E55" i="10"/>
  <c r="F56" i="10" s="1"/>
  <c r="G56" i="10" s="1"/>
  <c r="F51" i="6"/>
  <c r="G51" i="6" s="1"/>
  <c r="J55" i="10"/>
  <c r="H55" i="10"/>
  <c r="I55" i="10"/>
  <c r="E54" i="14"/>
  <c r="F55" i="14" s="1"/>
  <c r="G55" i="14" s="1"/>
  <c r="D55" i="14"/>
  <c r="E52" i="11"/>
  <c r="F53" i="11"/>
  <c r="G53" i="11" s="1"/>
  <c r="D53" i="11"/>
  <c r="J50" i="6"/>
  <c r="I50" i="6"/>
  <c r="H50" i="6"/>
  <c r="E52" i="12"/>
  <c r="F53" i="12" s="1"/>
  <c r="G53" i="12" s="1"/>
  <c r="J53" i="8"/>
  <c r="I53" i="8"/>
  <c r="H53" i="8"/>
  <c r="D54" i="7"/>
  <c r="F54" i="8"/>
  <c r="G54" i="8" s="1"/>
  <c r="J55" i="14" l="1"/>
  <c r="I55" i="14"/>
  <c r="H55" i="14"/>
  <c r="J56" i="10"/>
  <c r="I56" i="10"/>
  <c r="H56" i="10"/>
  <c r="E53" i="13"/>
  <c r="F54" i="13" s="1"/>
  <c r="G54" i="13" s="1"/>
  <c r="D54" i="13"/>
  <c r="E55" i="9"/>
  <c r="F56" i="9" s="1"/>
  <c r="G56" i="9" s="1"/>
  <c r="H52" i="6"/>
  <c r="J52" i="6"/>
  <c r="I52" i="6"/>
  <c r="J53" i="12"/>
  <c r="I53" i="12"/>
  <c r="H53" i="12"/>
  <c r="H51" i="6"/>
  <c r="J51" i="6"/>
  <c r="I51" i="6"/>
  <c r="J54" i="8"/>
  <c r="I54" i="8"/>
  <c r="H54" i="8"/>
  <c r="E55" i="8"/>
  <c r="D56" i="8" s="1"/>
  <c r="F53" i="13"/>
  <c r="G53" i="13" s="1"/>
  <c r="J53" i="11"/>
  <c r="I53" i="11"/>
  <c r="H53" i="11"/>
  <c r="D56" i="10"/>
  <c r="F55" i="9"/>
  <c r="G55" i="9" s="1"/>
  <c r="E54" i="7"/>
  <c r="F55" i="7" s="1"/>
  <c r="G55" i="7" s="1"/>
  <c r="D52" i="6"/>
  <c r="D53" i="12"/>
  <c r="J55" i="8"/>
  <c r="I55" i="8"/>
  <c r="H55" i="8"/>
  <c r="E55" i="14"/>
  <c r="D56" i="14" s="1"/>
  <c r="E53" i="11"/>
  <c r="F54" i="11" s="1"/>
  <c r="G54" i="11" s="1"/>
  <c r="D54" i="11"/>
  <c r="E56" i="8" l="1"/>
  <c r="F57" i="8"/>
  <c r="G57" i="8" s="1"/>
  <c r="D57" i="8"/>
  <c r="H56" i="9"/>
  <c r="J56" i="9"/>
  <c r="I56" i="9"/>
  <c r="H55" i="7"/>
  <c r="J55" i="7"/>
  <c r="I55" i="7"/>
  <c r="J54" i="13"/>
  <c r="I54" i="13"/>
  <c r="H54" i="13"/>
  <c r="I54" i="11"/>
  <c r="H54" i="11"/>
  <c r="J54" i="11"/>
  <c r="E56" i="14"/>
  <c r="F57" i="14"/>
  <c r="G57" i="14" s="1"/>
  <c r="D57" i="14"/>
  <c r="F56" i="8"/>
  <c r="G56" i="8" s="1"/>
  <c r="F54" i="12"/>
  <c r="G54" i="12" s="1"/>
  <c r="E53" i="12"/>
  <c r="D54" i="12" s="1"/>
  <c r="E54" i="11"/>
  <c r="D55" i="11" s="1"/>
  <c r="F55" i="11"/>
  <c r="G55" i="11" s="1"/>
  <c r="E54" i="13"/>
  <c r="F55" i="13" s="1"/>
  <c r="G55" i="13" s="1"/>
  <c r="D55" i="13"/>
  <c r="J53" i="13"/>
  <c r="I53" i="13"/>
  <c r="H53" i="13"/>
  <c r="D56" i="9"/>
  <c r="F56" i="14"/>
  <c r="G56" i="14" s="1"/>
  <c r="E52" i="6"/>
  <c r="F53" i="6"/>
  <c r="G53" i="6" s="1"/>
  <c r="D53" i="6"/>
  <c r="D55" i="7"/>
  <c r="E56" i="10"/>
  <c r="F57" i="10" s="1"/>
  <c r="G57" i="10" s="1"/>
  <c r="D57" i="10"/>
  <c r="J55" i="9"/>
  <c r="I55" i="9"/>
  <c r="H55" i="9"/>
  <c r="E54" i="12" l="1"/>
  <c r="F55" i="12" s="1"/>
  <c r="G55" i="12" s="1"/>
  <c r="D55" i="12"/>
  <c r="J55" i="13"/>
  <c r="H55" i="13"/>
  <c r="I55" i="13"/>
  <c r="E55" i="11"/>
  <c r="F56" i="11" s="1"/>
  <c r="G56" i="11" s="1"/>
  <c r="D56" i="11"/>
  <c r="H57" i="10"/>
  <c r="I57" i="10"/>
  <c r="J57" i="10"/>
  <c r="E56" i="9"/>
  <c r="F57" i="9"/>
  <c r="G57" i="9" s="1"/>
  <c r="D57" i="9"/>
  <c r="J57" i="14"/>
  <c r="I57" i="14"/>
  <c r="H57" i="14"/>
  <c r="J55" i="11"/>
  <c r="I55" i="11"/>
  <c r="H55" i="11"/>
  <c r="J56" i="8"/>
  <c r="I56" i="8"/>
  <c r="H56" i="8"/>
  <c r="E55" i="13"/>
  <c r="F56" i="13"/>
  <c r="G56" i="13" s="1"/>
  <c r="D56" i="13"/>
  <c r="J54" i="12"/>
  <c r="I54" i="12"/>
  <c r="H54" i="12"/>
  <c r="E55" i="7"/>
  <c r="D56" i="7" s="1"/>
  <c r="J57" i="8"/>
  <c r="I57" i="8"/>
  <c r="H57" i="8"/>
  <c r="E57" i="14"/>
  <c r="F58" i="14" s="1"/>
  <c r="G58" i="14" s="1"/>
  <c r="D58" i="14"/>
  <c r="E57" i="10"/>
  <c r="F58" i="10"/>
  <c r="G58" i="10" s="1"/>
  <c r="D58" i="10"/>
  <c r="E53" i="6"/>
  <c r="F54" i="6" s="1"/>
  <c r="G54" i="6" s="1"/>
  <c r="D54" i="6"/>
  <c r="H53" i="6"/>
  <c r="J53" i="6"/>
  <c r="I53" i="6"/>
  <c r="E57" i="8"/>
  <c r="D58" i="8" s="1"/>
  <c r="J56" i="14"/>
  <c r="I56" i="14"/>
  <c r="H56" i="14"/>
  <c r="I54" i="6" l="1"/>
  <c r="H54" i="6"/>
  <c r="J54" i="6"/>
  <c r="E56" i="7"/>
  <c r="F57" i="7" s="1"/>
  <c r="G57" i="7" s="1"/>
  <c r="D57" i="7"/>
  <c r="E58" i="8"/>
  <c r="F59" i="8" s="1"/>
  <c r="G59" i="8" s="1"/>
  <c r="J56" i="11"/>
  <c r="I56" i="11"/>
  <c r="H56" i="11"/>
  <c r="J58" i="14"/>
  <c r="I58" i="14"/>
  <c r="H58" i="14"/>
  <c r="H55" i="12"/>
  <c r="J55" i="12"/>
  <c r="I55" i="12"/>
  <c r="F58" i="8"/>
  <c r="G58" i="8" s="1"/>
  <c r="E57" i="9"/>
  <c r="D58" i="9" s="1"/>
  <c r="H58" i="10"/>
  <c r="J58" i="10"/>
  <c r="I58" i="10"/>
  <c r="E54" i="6"/>
  <c r="F55" i="6" s="1"/>
  <c r="G55" i="6" s="1"/>
  <c r="D55" i="6"/>
  <c r="J56" i="13"/>
  <c r="I56" i="13"/>
  <c r="H56" i="13"/>
  <c r="E58" i="10"/>
  <c r="F59" i="10" s="1"/>
  <c r="G59" i="10" s="1"/>
  <c r="E56" i="11"/>
  <c r="F57" i="11" s="1"/>
  <c r="G57" i="11" s="1"/>
  <c r="D57" i="11"/>
  <c r="E58" i="14"/>
  <c r="F59" i="14" s="1"/>
  <c r="G59" i="14" s="1"/>
  <c r="D59" i="14"/>
  <c r="F56" i="7"/>
  <c r="G56" i="7" s="1"/>
  <c r="E56" i="13"/>
  <c r="F57" i="13" s="1"/>
  <c r="G57" i="13" s="1"/>
  <c r="J57" i="9"/>
  <c r="I57" i="9"/>
  <c r="H57" i="9"/>
  <c r="E55" i="12"/>
  <c r="F56" i="12" s="1"/>
  <c r="G56" i="12" s="1"/>
  <c r="H59" i="10" l="1"/>
  <c r="J59" i="10"/>
  <c r="I59" i="10"/>
  <c r="I57" i="13"/>
  <c r="J57" i="13"/>
  <c r="H57" i="13"/>
  <c r="J57" i="11"/>
  <c r="I57" i="11"/>
  <c r="H57" i="11"/>
  <c r="E58" i="9"/>
  <c r="F59" i="9"/>
  <c r="G59" i="9" s="1"/>
  <c r="D59" i="9"/>
  <c r="J59" i="8"/>
  <c r="I59" i="8"/>
  <c r="H59" i="8"/>
  <c r="H57" i="7"/>
  <c r="J57" i="7"/>
  <c r="I57" i="7"/>
  <c r="J59" i="14"/>
  <c r="I59" i="14"/>
  <c r="H59" i="14"/>
  <c r="J55" i="6"/>
  <c r="I55" i="6"/>
  <c r="H55" i="6"/>
  <c r="J56" i="12"/>
  <c r="H56" i="12"/>
  <c r="I56" i="12"/>
  <c r="F58" i="9"/>
  <c r="G58" i="9" s="1"/>
  <c r="E55" i="6"/>
  <c r="F56" i="6" s="1"/>
  <c r="G56" i="6" s="1"/>
  <c r="J58" i="8"/>
  <c r="I58" i="8"/>
  <c r="H58" i="8"/>
  <c r="D56" i="12"/>
  <c r="D57" i="13"/>
  <c r="I56" i="7"/>
  <c r="H56" i="7"/>
  <c r="J56" i="7"/>
  <c r="D59" i="8"/>
  <c r="E59" i="14"/>
  <c r="F60" i="14" s="1"/>
  <c r="G60" i="14" s="1"/>
  <c r="E57" i="11"/>
  <c r="F58" i="11" s="1"/>
  <c r="G58" i="11" s="1"/>
  <c r="D58" i="11"/>
  <c r="E57" i="7"/>
  <c r="F58" i="7" s="1"/>
  <c r="G58" i="7" s="1"/>
  <c r="D58" i="7"/>
  <c r="D59" i="10"/>
  <c r="J58" i="7" l="1"/>
  <c r="I58" i="7"/>
  <c r="H58" i="7"/>
  <c r="J56" i="6"/>
  <c r="I56" i="6"/>
  <c r="H56" i="6"/>
  <c r="J58" i="11"/>
  <c r="I58" i="11"/>
  <c r="H58" i="11"/>
  <c r="J60" i="14"/>
  <c r="I60" i="14"/>
  <c r="H60" i="14"/>
  <c r="J58" i="9"/>
  <c r="I58" i="9"/>
  <c r="H58" i="9"/>
  <c r="D60" i="14"/>
  <c r="E58" i="7"/>
  <c r="F59" i="7" s="1"/>
  <c r="G59" i="7" s="1"/>
  <c r="J59" i="9"/>
  <c r="I59" i="9"/>
  <c r="H59" i="9"/>
  <c r="D58" i="13"/>
  <c r="E57" i="13"/>
  <c r="F58" i="13" s="1"/>
  <c r="G58" i="13" s="1"/>
  <c r="D56" i="6"/>
  <c r="E56" i="12"/>
  <c r="F57" i="12" s="1"/>
  <c r="G57" i="12" s="1"/>
  <c r="E59" i="10"/>
  <c r="F60" i="10" s="1"/>
  <c r="G60" i="10" s="1"/>
  <c r="E58" i="11"/>
  <c r="F59" i="11" s="1"/>
  <c r="G59" i="11" s="1"/>
  <c r="E59" i="9"/>
  <c r="F60" i="9" s="1"/>
  <c r="G60" i="9" s="1"/>
  <c r="E59" i="8"/>
  <c r="F60" i="8" s="1"/>
  <c r="G60" i="8" s="1"/>
  <c r="D60" i="8"/>
  <c r="J60" i="9" l="1"/>
  <c r="I60" i="9"/>
  <c r="H60" i="9"/>
  <c r="J57" i="12"/>
  <c r="I57" i="12"/>
  <c r="H57" i="12"/>
  <c r="J60" i="8"/>
  <c r="I60" i="8"/>
  <c r="H60" i="8"/>
  <c r="I59" i="11"/>
  <c r="J59" i="11"/>
  <c r="H59" i="11"/>
  <c r="J60" i="10"/>
  <c r="I60" i="10"/>
  <c r="H60" i="10"/>
  <c r="J58" i="13"/>
  <c r="I58" i="13"/>
  <c r="H58" i="13"/>
  <c r="I59" i="7"/>
  <c r="J59" i="7"/>
  <c r="H59" i="7"/>
  <c r="D57" i="12"/>
  <c r="D60" i="10"/>
  <c r="F59" i="13"/>
  <c r="G59" i="13" s="1"/>
  <c r="E58" i="13"/>
  <c r="D59" i="13" s="1"/>
  <c r="D59" i="7"/>
  <c r="D60" i="9"/>
  <c r="D59" i="11"/>
  <c r="E56" i="6"/>
  <c r="D57" i="6" s="1"/>
  <c r="F61" i="14"/>
  <c r="G61" i="14" s="1"/>
  <c r="E60" i="14"/>
  <c r="D61" i="14"/>
  <c r="E60" i="8"/>
  <c r="F61" i="8" s="1"/>
  <c r="G61" i="8" s="1"/>
  <c r="D61" i="8"/>
  <c r="E57" i="6" l="1"/>
  <c r="F58" i="6" s="1"/>
  <c r="G58" i="6" s="1"/>
  <c r="D58" i="6"/>
  <c r="E59" i="13"/>
  <c r="F60" i="13" s="1"/>
  <c r="G60" i="13" s="1"/>
  <c r="J61" i="8"/>
  <c r="I61" i="8"/>
  <c r="H61" i="8"/>
  <c r="F61" i="9"/>
  <c r="G61" i="9" s="1"/>
  <c r="E60" i="9"/>
  <c r="D61" i="9"/>
  <c r="E59" i="7"/>
  <c r="F60" i="7" s="1"/>
  <c r="G60" i="7" s="1"/>
  <c r="E59" i="11"/>
  <c r="F60" i="11" s="1"/>
  <c r="G60" i="11" s="1"/>
  <c r="E60" i="10"/>
  <c r="F61" i="10" s="1"/>
  <c r="G61" i="10" s="1"/>
  <c r="F57" i="6"/>
  <c r="G57" i="6" s="1"/>
  <c r="H59" i="13"/>
  <c r="J59" i="13"/>
  <c r="I59" i="13"/>
  <c r="E61" i="14"/>
  <c r="D62" i="14" s="1"/>
  <c r="E57" i="12"/>
  <c r="F58" i="12" s="1"/>
  <c r="G58" i="12" s="1"/>
  <c r="E61" i="8"/>
  <c r="F62" i="8" s="1"/>
  <c r="G62" i="8" s="1"/>
  <c r="J61" i="14"/>
  <c r="I61" i="14"/>
  <c r="H61" i="14"/>
  <c r="J62" i="8" l="1"/>
  <c r="H62" i="8"/>
  <c r="I62" i="8"/>
  <c r="H58" i="12"/>
  <c r="J58" i="12"/>
  <c r="I58" i="12"/>
  <c r="H60" i="7"/>
  <c r="J60" i="7"/>
  <c r="I60" i="7"/>
  <c r="E62" i="14"/>
  <c r="F63" i="14" s="1"/>
  <c r="G63" i="14" s="1"/>
  <c r="D63" i="14"/>
  <c r="I61" i="10"/>
  <c r="H61" i="10"/>
  <c r="J61" i="10"/>
  <c r="I60" i="11"/>
  <c r="H60" i="11"/>
  <c r="J60" i="11"/>
  <c r="J60" i="13"/>
  <c r="I60" i="13"/>
  <c r="H60" i="13"/>
  <c r="J58" i="6"/>
  <c r="I58" i="6"/>
  <c r="H58" i="6"/>
  <c r="D58" i="12"/>
  <c r="F62" i="14"/>
  <c r="G62" i="14" s="1"/>
  <c r="D61" i="10"/>
  <c r="E61" i="9"/>
  <c r="F62" i="9" s="1"/>
  <c r="G62" i="9" s="1"/>
  <c r="J57" i="6"/>
  <c r="I57" i="6"/>
  <c r="H57" i="6"/>
  <c r="D60" i="11"/>
  <c r="J61" i="9"/>
  <c r="I61" i="9"/>
  <c r="H61" i="9"/>
  <c r="D60" i="13"/>
  <c r="D60" i="7"/>
  <c r="E58" i="6"/>
  <c r="F59" i="6" s="1"/>
  <c r="G59" i="6" s="1"/>
  <c r="D59" i="6"/>
  <c r="D62" i="8"/>
  <c r="J62" i="9" l="1"/>
  <c r="I62" i="9"/>
  <c r="H62" i="9"/>
  <c r="H63" i="14"/>
  <c r="J63" i="14"/>
  <c r="I63" i="14"/>
  <c r="I59" i="6"/>
  <c r="H59" i="6"/>
  <c r="J59" i="6"/>
  <c r="D62" i="9"/>
  <c r="E58" i="12"/>
  <c r="D59" i="12" s="1"/>
  <c r="E63" i="14"/>
  <c r="F64" i="14" s="1"/>
  <c r="G64" i="14" s="1"/>
  <c r="D64" i="14"/>
  <c r="J62" i="14"/>
  <c r="I62" i="14"/>
  <c r="H62" i="14"/>
  <c r="E61" i="10"/>
  <c r="F62" i="10" s="1"/>
  <c r="G62" i="10" s="1"/>
  <c r="E62" i="8"/>
  <c r="F63" i="8" s="1"/>
  <c r="G63" i="8" s="1"/>
  <c r="E59" i="6"/>
  <c r="D60" i="6" s="1"/>
  <c r="F60" i="6"/>
  <c r="G60" i="6" s="1"/>
  <c r="E60" i="7"/>
  <c r="F61" i="7" s="1"/>
  <c r="G61" i="7" s="1"/>
  <c r="D61" i="7"/>
  <c r="F61" i="13"/>
  <c r="G61" i="13" s="1"/>
  <c r="E60" i="13"/>
  <c r="D61" i="13" s="1"/>
  <c r="E60" i="11"/>
  <c r="F61" i="11" s="1"/>
  <c r="G61" i="11" s="1"/>
  <c r="D61" i="11"/>
  <c r="I61" i="11" l="1"/>
  <c r="H61" i="11"/>
  <c r="J61" i="11"/>
  <c r="I61" i="7"/>
  <c r="J61" i="7"/>
  <c r="H61" i="7"/>
  <c r="J63" i="8"/>
  <c r="I63" i="8"/>
  <c r="H63" i="8"/>
  <c r="E61" i="13"/>
  <c r="D62" i="13" s="1"/>
  <c r="E60" i="6"/>
  <c r="D61" i="6" s="1"/>
  <c r="I62" i="10"/>
  <c r="H62" i="10"/>
  <c r="J62" i="10"/>
  <c r="J64" i="14"/>
  <c r="H64" i="14"/>
  <c r="I64" i="14"/>
  <c r="E59" i="12"/>
  <c r="D60" i="12" s="1"/>
  <c r="F60" i="12"/>
  <c r="G60" i="12" s="1"/>
  <c r="F59" i="12"/>
  <c r="G59" i="12" s="1"/>
  <c r="E62" i="9"/>
  <c r="F63" i="9" s="1"/>
  <c r="G63" i="9" s="1"/>
  <c r="D65" i="14"/>
  <c r="E64" i="14"/>
  <c r="F65" i="14" s="1"/>
  <c r="G65" i="14" s="1"/>
  <c r="J61" i="13"/>
  <c r="I61" i="13"/>
  <c r="H61" i="13"/>
  <c r="D63" i="8"/>
  <c r="E61" i="7"/>
  <c r="F62" i="7"/>
  <c r="G62" i="7" s="1"/>
  <c r="D62" i="7"/>
  <c r="I60" i="6"/>
  <c r="J60" i="6"/>
  <c r="H60" i="6"/>
  <c r="D62" i="10"/>
  <c r="E61" i="11"/>
  <c r="F62" i="11"/>
  <c r="G62" i="11" s="1"/>
  <c r="D62" i="11"/>
  <c r="J65" i="14" l="1"/>
  <c r="I65" i="14"/>
  <c r="H65" i="14"/>
  <c r="I63" i="9"/>
  <c r="H63" i="9"/>
  <c r="J63" i="9"/>
  <c r="E60" i="12"/>
  <c r="F61" i="12" s="1"/>
  <c r="G61" i="12" s="1"/>
  <c r="D61" i="12"/>
  <c r="E61" i="6"/>
  <c r="F62" i="6" s="1"/>
  <c r="G62" i="6" s="1"/>
  <c r="E62" i="13"/>
  <c r="F63" i="13" s="1"/>
  <c r="G63" i="13" s="1"/>
  <c r="D63" i="9"/>
  <c r="J59" i="12"/>
  <c r="I59" i="12"/>
  <c r="H59" i="12"/>
  <c r="H62" i="11"/>
  <c r="J62" i="11"/>
  <c r="I62" i="11"/>
  <c r="F61" i="6"/>
  <c r="G61" i="6" s="1"/>
  <c r="F62" i="13"/>
  <c r="G62" i="13" s="1"/>
  <c r="E62" i="10"/>
  <c r="F63" i="10"/>
  <c r="G63" i="10" s="1"/>
  <c r="D63" i="10"/>
  <c r="D63" i="7"/>
  <c r="E62" i="7"/>
  <c r="F63" i="7" s="1"/>
  <c r="G63" i="7" s="1"/>
  <c r="F66" i="14"/>
  <c r="G66" i="14" s="1"/>
  <c r="D66" i="14"/>
  <c r="E65" i="14"/>
  <c r="J60" i="12"/>
  <c r="H60" i="12"/>
  <c r="I60" i="12"/>
  <c r="E62" i="11"/>
  <c r="F63" i="11" s="1"/>
  <c r="G63" i="11" s="1"/>
  <c r="J62" i="7"/>
  <c r="I62" i="7"/>
  <c r="H62" i="7"/>
  <c r="E63" i="8"/>
  <c r="D64" i="8" s="1"/>
  <c r="F64" i="8"/>
  <c r="G64" i="8" s="1"/>
  <c r="I63" i="7" l="1"/>
  <c r="H63" i="7"/>
  <c r="J63" i="7"/>
  <c r="H62" i="6"/>
  <c r="J62" i="6"/>
  <c r="I62" i="6"/>
  <c r="J63" i="11"/>
  <c r="I63" i="11"/>
  <c r="H63" i="11"/>
  <c r="H63" i="13"/>
  <c r="J63" i="13"/>
  <c r="I63" i="13"/>
  <c r="H61" i="12"/>
  <c r="J61" i="12"/>
  <c r="I61" i="12"/>
  <c r="E64" i="8"/>
  <c r="F65" i="8" s="1"/>
  <c r="G65" i="8" s="1"/>
  <c r="D65" i="8"/>
  <c r="E63" i="10"/>
  <c r="F64" i="10" s="1"/>
  <c r="G64" i="10" s="1"/>
  <c r="E63" i="7"/>
  <c r="F64" i="7"/>
  <c r="G64" i="7" s="1"/>
  <c r="D64" i="7"/>
  <c r="I62" i="13"/>
  <c r="H62" i="13"/>
  <c r="J62" i="13"/>
  <c r="J66" i="14"/>
  <c r="I66" i="14"/>
  <c r="H66" i="14"/>
  <c r="I61" i="6"/>
  <c r="H61" i="6"/>
  <c r="J61" i="6"/>
  <c r="E63" i="9"/>
  <c r="F64" i="9"/>
  <c r="G64" i="9" s="1"/>
  <c r="D64" i="9"/>
  <c r="J64" i="8"/>
  <c r="I64" i="8"/>
  <c r="H64" i="8"/>
  <c r="D63" i="13"/>
  <c r="E61" i="12"/>
  <c r="F62" i="12"/>
  <c r="G62" i="12" s="1"/>
  <c r="D62" i="12"/>
  <c r="J63" i="10"/>
  <c r="I63" i="10"/>
  <c r="H63" i="10"/>
  <c r="D63" i="11"/>
  <c r="E66" i="14"/>
  <c r="D67" i="14" s="1"/>
  <c r="D62" i="6"/>
  <c r="J64" i="10" l="1"/>
  <c r="I64" i="10"/>
  <c r="H64" i="10"/>
  <c r="J65" i="8"/>
  <c r="I65" i="8"/>
  <c r="H65" i="8"/>
  <c r="E67" i="14"/>
  <c r="F68" i="14" s="1"/>
  <c r="G68" i="14" s="1"/>
  <c r="D64" i="10"/>
  <c r="I64" i="7"/>
  <c r="H64" i="7"/>
  <c r="J64" i="7"/>
  <c r="E65" i="8"/>
  <c r="F66" i="8" s="1"/>
  <c r="G66" i="8" s="1"/>
  <c r="E63" i="11"/>
  <c r="F64" i="11" s="1"/>
  <c r="G64" i="11" s="1"/>
  <c r="D64" i="11"/>
  <c r="I62" i="12"/>
  <c r="H62" i="12"/>
  <c r="J62" i="12"/>
  <c r="E64" i="7"/>
  <c r="F65" i="7" s="1"/>
  <c r="G65" i="7" s="1"/>
  <c r="E62" i="12"/>
  <c r="D63" i="12" s="1"/>
  <c r="E62" i="6"/>
  <c r="F63" i="6" s="1"/>
  <c r="G63" i="6" s="1"/>
  <c r="F67" i="14"/>
  <c r="G67" i="14" s="1"/>
  <c r="E63" i="13"/>
  <c r="F64" i="13"/>
  <c r="G64" i="13" s="1"/>
  <c r="D64" i="13"/>
  <c r="E64" i="9"/>
  <c r="F65" i="9" s="1"/>
  <c r="G65" i="9" s="1"/>
  <c r="I64" i="9"/>
  <c r="H64" i="9"/>
  <c r="J64" i="9"/>
  <c r="H65" i="9" l="1"/>
  <c r="I65" i="9"/>
  <c r="J65" i="9"/>
  <c r="E63" i="12"/>
  <c r="F64" i="12" s="1"/>
  <c r="G64" i="12" s="1"/>
  <c r="D64" i="12"/>
  <c r="H63" i="6"/>
  <c r="J63" i="6"/>
  <c r="I63" i="6"/>
  <c r="J65" i="7"/>
  <c r="I65" i="7"/>
  <c r="H65" i="7"/>
  <c r="J64" i="11"/>
  <c r="I64" i="11"/>
  <c r="H64" i="11"/>
  <c r="H66" i="8"/>
  <c r="J66" i="8"/>
  <c r="I66" i="8"/>
  <c r="J68" i="14"/>
  <c r="I68" i="14"/>
  <c r="H68" i="14"/>
  <c r="H67" i="14"/>
  <c r="J67" i="14"/>
  <c r="I67" i="14"/>
  <c r="D63" i="6"/>
  <c r="F63" i="12"/>
  <c r="G63" i="12" s="1"/>
  <c r="E64" i="11"/>
  <c r="F65" i="11"/>
  <c r="G65" i="11" s="1"/>
  <c r="D65" i="11"/>
  <c r="D66" i="8"/>
  <c r="D65" i="7"/>
  <c r="E64" i="10"/>
  <c r="F65" i="10" s="1"/>
  <c r="G65" i="10" s="1"/>
  <c r="D68" i="14"/>
  <c r="D65" i="9"/>
  <c r="E64" i="13"/>
  <c r="F65" i="13" s="1"/>
  <c r="G65" i="13" s="1"/>
  <c r="D65" i="13"/>
  <c r="J64" i="13"/>
  <c r="H64" i="13"/>
  <c r="I64" i="13"/>
  <c r="I65" i="10" l="1"/>
  <c r="J65" i="10"/>
  <c r="H65" i="10"/>
  <c r="J64" i="12"/>
  <c r="H64" i="12"/>
  <c r="I64" i="12"/>
  <c r="J65" i="13"/>
  <c r="I65" i="13"/>
  <c r="H65" i="13"/>
  <c r="E66" i="8"/>
  <c r="F67" i="8" s="1"/>
  <c r="G67" i="8" s="1"/>
  <c r="D67" i="8"/>
  <c r="E65" i="11"/>
  <c r="F66" i="11" s="1"/>
  <c r="G66" i="11" s="1"/>
  <c r="D66" i="11"/>
  <c r="H63" i="12"/>
  <c r="J63" i="12"/>
  <c r="I63" i="12"/>
  <c r="E65" i="7"/>
  <c r="F66" i="7" s="1"/>
  <c r="G66" i="7" s="1"/>
  <c r="E65" i="13"/>
  <c r="D66" i="13" s="1"/>
  <c r="H65" i="11"/>
  <c r="J65" i="11"/>
  <c r="I65" i="11"/>
  <c r="E63" i="6"/>
  <c r="F64" i="6"/>
  <c r="G64" i="6" s="1"/>
  <c r="D64" i="6"/>
  <c r="E64" i="12"/>
  <c r="D65" i="12" s="1"/>
  <c r="E65" i="9"/>
  <c r="F66" i="9" s="1"/>
  <c r="G66" i="9" s="1"/>
  <c r="D66" i="9"/>
  <c r="E68" i="14"/>
  <c r="F69" i="14" s="1"/>
  <c r="G69" i="14" s="1"/>
  <c r="D69" i="14"/>
  <c r="D65" i="10"/>
  <c r="E65" i="12" l="1"/>
  <c r="D66" i="12" s="1"/>
  <c r="J69" i="14"/>
  <c r="I69" i="14"/>
  <c r="H69" i="14"/>
  <c r="J66" i="9"/>
  <c r="I66" i="9"/>
  <c r="H66" i="9"/>
  <c r="E66" i="13"/>
  <c r="D67" i="13" s="1"/>
  <c r="J66" i="7"/>
  <c r="H66" i="7"/>
  <c r="I66" i="7"/>
  <c r="J66" i="11"/>
  <c r="I66" i="11"/>
  <c r="H66" i="11"/>
  <c r="J67" i="8"/>
  <c r="H67" i="8"/>
  <c r="I67" i="8"/>
  <c r="J64" i="6"/>
  <c r="I64" i="6"/>
  <c r="H64" i="6"/>
  <c r="F65" i="12"/>
  <c r="G65" i="12" s="1"/>
  <c r="F66" i="13"/>
  <c r="G66" i="13" s="1"/>
  <c r="E66" i="11"/>
  <c r="F67" i="11" s="1"/>
  <c r="G67" i="11" s="1"/>
  <c r="E67" i="8"/>
  <c r="F68" i="8" s="1"/>
  <c r="G68" i="8" s="1"/>
  <c r="D68" i="8"/>
  <c r="D66" i="7"/>
  <c r="E64" i="6"/>
  <c r="F65" i="6" s="1"/>
  <c r="G65" i="6" s="1"/>
  <c r="E65" i="10"/>
  <c r="D66" i="10" s="1"/>
  <c r="E69" i="14"/>
  <c r="D70" i="14" s="1"/>
  <c r="F67" i="9"/>
  <c r="G67" i="9" s="1"/>
  <c r="E66" i="9"/>
  <c r="D67" i="9"/>
  <c r="E70" i="14" l="1"/>
  <c r="D71" i="14"/>
  <c r="F71" i="14"/>
  <c r="G71" i="14" s="1"/>
  <c r="I65" i="6"/>
  <c r="H65" i="6"/>
  <c r="J65" i="6"/>
  <c r="E66" i="10"/>
  <c r="F67" i="10"/>
  <c r="G67" i="10" s="1"/>
  <c r="D67" i="10"/>
  <c r="J68" i="8"/>
  <c r="I68" i="8"/>
  <c r="H68" i="8"/>
  <c r="J67" i="11"/>
  <c r="H67" i="11"/>
  <c r="I67" i="11"/>
  <c r="E67" i="13"/>
  <c r="F68" i="13" s="1"/>
  <c r="G68" i="13" s="1"/>
  <c r="E66" i="12"/>
  <c r="F67" i="12"/>
  <c r="G67" i="12" s="1"/>
  <c r="D67" i="12"/>
  <c r="D67" i="11"/>
  <c r="E67" i="9"/>
  <c r="F68" i="9" s="1"/>
  <c r="G68" i="9" s="1"/>
  <c r="D68" i="9"/>
  <c r="E68" i="8"/>
  <c r="F69" i="8" s="1"/>
  <c r="G69" i="8" s="1"/>
  <c r="D69" i="8"/>
  <c r="I65" i="12"/>
  <c r="H65" i="12"/>
  <c r="J65" i="12"/>
  <c r="F67" i="13"/>
  <c r="G67" i="13" s="1"/>
  <c r="F66" i="10"/>
  <c r="G66" i="10" s="1"/>
  <c r="F70" i="14"/>
  <c r="G70" i="14" s="1"/>
  <c r="F66" i="12"/>
  <c r="G66" i="12" s="1"/>
  <c r="I66" i="13"/>
  <c r="H66" i="13"/>
  <c r="J66" i="13"/>
  <c r="J67" i="9"/>
  <c r="I67" i="9"/>
  <c r="H67" i="9"/>
  <c r="D65" i="6"/>
  <c r="F67" i="7"/>
  <c r="G67" i="7" s="1"/>
  <c r="E66" i="7"/>
  <c r="D67" i="7" s="1"/>
  <c r="J69" i="8" l="1"/>
  <c r="I69" i="8"/>
  <c r="H69" i="8"/>
  <c r="J68" i="13"/>
  <c r="I68" i="13"/>
  <c r="H68" i="13"/>
  <c r="J68" i="9"/>
  <c r="I68" i="9"/>
  <c r="H68" i="9"/>
  <c r="E67" i="7"/>
  <c r="F68" i="7" s="1"/>
  <c r="G68" i="7" s="1"/>
  <c r="E67" i="12"/>
  <c r="F68" i="12" s="1"/>
  <c r="G68" i="12" s="1"/>
  <c r="D68" i="12"/>
  <c r="E69" i="8"/>
  <c r="F70" i="8" s="1"/>
  <c r="G70" i="8" s="1"/>
  <c r="D70" i="8"/>
  <c r="F68" i="11"/>
  <c r="G68" i="11" s="1"/>
  <c r="E67" i="11"/>
  <c r="D68" i="11" s="1"/>
  <c r="J67" i="7"/>
  <c r="I67" i="7"/>
  <c r="H67" i="7"/>
  <c r="H67" i="13"/>
  <c r="J67" i="13"/>
  <c r="I67" i="13"/>
  <c r="D68" i="13"/>
  <c r="F68" i="10"/>
  <c r="G68" i="10" s="1"/>
  <c r="E67" i="10"/>
  <c r="D68" i="10" s="1"/>
  <c r="F72" i="14"/>
  <c r="G72" i="14" s="1"/>
  <c r="E71" i="14"/>
  <c r="D72" i="14" s="1"/>
  <c r="E68" i="9"/>
  <c r="F69" i="9" s="1"/>
  <c r="G69" i="9" s="1"/>
  <c r="D69" i="9"/>
  <c r="H67" i="12"/>
  <c r="I67" i="12"/>
  <c r="J67" i="12"/>
  <c r="F66" i="6"/>
  <c r="G66" i="6" s="1"/>
  <c r="E65" i="6"/>
  <c r="D66" i="6"/>
  <c r="J67" i="10"/>
  <c r="I67" i="10"/>
  <c r="H67" i="10"/>
  <c r="H66" i="12"/>
  <c r="J66" i="12"/>
  <c r="I66" i="12"/>
  <c r="I71" i="14"/>
  <c r="H71" i="14"/>
  <c r="J71" i="14"/>
  <c r="I70" i="14"/>
  <c r="H70" i="14"/>
  <c r="J70" i="14"/>
  <c r="I66" i="10"/>
  <c r="H66" i="10"/>
  <c r="J66" i="10"/>
  <c r="J69" i="9" l="1"/>
  <c r="I69" i="9"/>
  <c r="H69" i="9"/>
  <c r="E68" i="10"/>
  <c r="F69" i="10"/>
  <c r="G69" i="10" s="1"/>
  <c r="D69" i="10"/>
  <c r="E68" i="11"/>
  <c r="F69" i="11"/>
  <c r="G69" i="11" s="1"/>
  <c r="D69" i="11"/>
  <c r="I68" i="12"/>
  <c r="H68" i="12"/>
  <c r="J68" i="12"/>
  <c r="E72" i="14"/>
  <c r="F73" i="14" s="1"/>
  <c r="G73" i="14" s="1"/>
  <c r="J70" i="8"/>
  <c r="I70" i="8"/>
  <c r="H70" i="8"/>
  <c r="J68" i="7"/>
  <c r="H68" i="7"/>
  <c r="I68" i="7"/>
  <c r="J68" i="10"/>
  <c r="I68" i="10"/>
  <c r="H68" i="10"/>
  <c r="J68" i="11"/>
  <c r="H68" i="11"/>
  <c r="I68" i="11"/>
  <c r="E66" i="6"/>
  <c r="F67" i="6" s="1"/>
  <c r="G67" i="6" s="1"/>
  <c r="D67" i="6"/>
  <c r="D68" i="7"/>
  <c r="F71" i="8"/>
  <c r="G71" i="8" s="1"/>
  <c r="E70" i="8"/>
  <c r="D71" i="8"/>
  <c r="J66" i="6"/>
  <c r="I66" i="6"/>
  <c r="H66" i="6"/>
  <c r="J72" i="14"/>
  <c r="I72" i="14"/>
  <c r="H72" i="14"/>
  <c r="E68" i="13"/>
  <c r="F69" i="13" s="1"/>
  <c r="G69" i="13" s="1"/>
  <c r="D69" i="13"/>
  <c r="E68" i="12"/>
  <c r="D69" i="12" s="1"/>
  <c r="F69" i="12"/>
  <c r="G69" i="12" s="1"/>
  <c r="E69" i="9"/>
  <c r="F70" i="9" s="1"/>
  <c r="G70" i="9" s="1"/>
  <c r="E69" i="12" l="1"/>
  <c r="F70" i="12"/>
  <c r="G70" i="12" s="1"/>
  <c r="D70" i="12"/>
  <c r="J67" i="6"/>
  <c r="I67" i="6"/>
  <c r="H67" i="6"/>
  <c r="J73" i="14"/>
  <c r="I73" i="14"/>
  <c r="H73" i="14"/>
  <c r="J70" i="9"/>
  <c r="I70" i="9"/>
  <c r="H70" i="9"/>
  <c r="J69" i="13"/>
  <c r="I69" i="13"/>
  <c r="H69" i="13"/>
  <c r="J71" i="8"/>
  <c r="H71" i="8"/>
  <c r="I71" i="8"/>
  <c r="E67" i="6"/>
  <c r="D68" i="6" s="1"/>
  <c r="E68" i="7"/>
  <c r="F69" i="7" s="1"/>
  <c r="G69" i="7" s="1"/>
  <c r="J69" i="12"/>
  <c r="I69" i="12"/>
  <c r="H69" i="12"/>
  <c r="E69" i="13"/>
  <c r="F70" i="13"/>
  <c r="G70" i="13" s="1"/>
  <c r="D70" i="13"/>
  <c r="D73" i="14"/>
  <c r="I69" i="11"/>
  <c r="J69" i="11"/>
  <c r="H69" i="11"/>
  <c r="D70" i="9"/>
  <c r="E69" i="11"/>
  <c r="F70" i="11" s="1"/>
  <c r="G70" i="11" s="1"/>
  <c r="D70" i="11"/>
  <c r="E69" i="10"/>
  <c r="F70" i="10"/>
  <c r="G70" i="10" s="1"/>
  <c r="D70" i="10"/>
  <c r="J69" i="10"/>
  <c r="I69" i="10"/>
  <c r="H69" i="10"/>
  <c r="E71" i="8"/>
  <c r="F72" i="8" s="1"/>
  <c r="G72" i="8" s="1"/>
  <c r="D72" i="8"/>
  <c r="F69" i="6" l="1"/>
  <c r="G69" i="6" s="1"/>
  <c r="E68" i="6"/>
  <c r="D69" i="6"/>
  <c r="I70" i="11"/>
  <c r="J70" i="11"/>
  <c r="H70" i="11"/>
  <c r="I69" i="7"/>
  <c r="H69" i="7"/>
  <c r="J69" i="7"/>
  <c r="H72" i="8"/>
  <c r="J72" i="8"/>
  <c r="I72" i="8"/>
  <c r="I70" i="13"/>
  <c r="H70" i="13"/>
  <c r="J70" i="13"/>
  <c r="E70" i="10"/>
  <c r="F71" i="10" s="1"/>
  <c r="G71" i="10" s="1"/>
  <c r="D71" i="10"/>
  <c r="E70" i="13"/>
  <c r="F71" i="13" s="1"/>
  <c r="G71" i="13" s="1"/>
  <c r="D71" i="13"/>
  <c r="D69" i="7"/>
  <c r="F68" i="6"/>
  <c r="G68" i="6" s="1"/>
  <c r="E73" i="14"/>
  <c r="F74" i="14" s="1"/>
  <c r="G74" i="14" s="1"/>
  <c r="E72" i="8"/>
  <c r="F73" i="8"/>
  <c r="G73" i="8" s="1"/>
  <c r="D73" i="8"/>
  <c r="E70" i="11"/>
  <c r="D71" i="11" s="1"/>
  <c r="F71" i="11"/>
  <c r="G71" i="11" s="1"/>
  <c r="I70" i="12"/>
  <c r="J70" i="12"/>
  <c r="H70" i="12"/>
  <c r="J70" i="10"/>
  <c r="I70" i="10"/>
  <c r="H70" i="10"/>
  <c r="E70" i="9"/>
  <c r="D71" i="9" s="1"/>
  <c r="E70" i="12"/>
  <c r="F71" i="12" s="1"/>
  <c r="G71" i="12" s="1"/>
  <c r="D71" i="12"/>
  <c r="I74" i="14" l="1"/>
  <c r="H74" i="14"/>
  <c r="J74" i="14"/>
  <c r="H71" i="10"/>
  <c r="J71" i="10"/>
  <c r="I71" i="10"/>
  <c r="E71" i="11"/>
  <c r="F72" i="11" s="1"/>
  <c r="G72" i="11" s="1"/>
  <c r="D72" i="11"/>
  <c r="I71" i="13"/>
  <c r="H71" i="13"/>
  <c r="J71" i="13"/>
  <c r="I71" i="12"/>
  <c r="J71" i="12"/>
  <c r="H71" i="12"/>
  <c r="E71" i="9"/>
  <c r="F72" i="9" s="1"/>
  <c r="G72" i="9" s="1"/>
  <c r="D72" i="9"/>
  <c r="H71" i="11"/>
  <c r="J71" i="11"/>
  <c r="I71" i="11"/>
  <c r="E71" i="13"/>
  <c r="F72" i="13" s="1"/>
  <c r="G72" i="13" s="1"/>
  <c r="D72" i="13"/>
  <c r="D74" i="14"/>
  <c r="E71" i="10"/>
  <c r="D72" i="10" s="1"/>
  <c r="E69" i="6"/>
  <c r="F70" i="6" s="1"/>
  <c r="G70" i="6" s="1"/>
  <c r="D70" i="6"/>
  <c r="F74" i="8"/>
  <c r="G74" i="8" s="1"/>
  <c r="E73" i="8"/>
  <c r="D74" i="8" s="1"/>
  <c r="J68" i="6"/>
  <c r="I68" i="6"/>
  <c r="H68" i="6"/>
  <c r="E71" i="12"/>
  <c r="F72" i="12" s="1"/>
  <c r="G72" i="12" s="1"/>
  <c r="F71" i="9"/>
  <c r="G71" i="9" s="1"/>
  <c r="J73" i="8"/>
  <c r="I73" i="8"/>
  <c r="H73" i="8"/>
  <c r="E69" i="7"/>
  <c r="F70" i="7"/>
  <c r="G70" i="7" s="1"/>
  <c r="D70" i="7"/>
  <c r="J69" i="6"/>
  <c r="I69" i="6"/>
  <c r="H69" i="6"/>
  <c r="J72" i="12" l="1"/>
  <c r="I72" i="12"/>
  <c r="H72" i="12"/>
  <c r="E72" i="10"/>
  <c r="F73" i="10" s="1"/>
  <c r="G73" i="10" s="1"/>
  <c r="D73" i="10"/>
  <c r="I70" i="6"/>
  <c r="H70" i="6"/>
  <c r="J70" i="6"/>
  <c r="J72" i="9"/>
  <c r="I72" i="9"/>
  <c r="H72" i="9"/>
  <c r="D75" i="8"/>
  <c r="E74" i="8"/>
  <c r="F75" i="8" s="1"/>
  <c r="G75" i="8" s="1"/>
  <c r="J72" i="13"/>
  <c r="I72" i="13"/>
  <c r="H72" i="13"/>
  <c r="J72" i="11"/>
  <c r="I72" i="11"/>
  <c r="H72" i="11"/>
  <c r="F72" i="10"/>
  <c r="G72" i="10" s="1"/>
  <c r="E74" i="14"/>
  <c r="D75" i="14" s="1"/>
  <c r="F75" i="14"/>
  <c r="G75" i="14" s="1"/>
  <c r="J74" i="8"/>
  <c r="I74" i="8"/>
  <c r="H74" i="8"/>
  <c r="F71" i="7"/>
  <c r="G71" i="7" s="1"/>
  <c r="E70" i="7"/>
  <c r="D71" i="7"/>
  <c r="J71" i="9"/>
  <c r="I71" i="9"/>
  <c r="H71" i="9"/>
  <c r="E72" i="13"/>
  <c r="F73" i="13" s="1"/>
  <c r="G73" i="13" s="1"/>
  <c r="D73" i="13"/>
  <c r="E72" i="9"/>
  <c r="F73" i="9" s="1"/>
  <c r="G73" i="9" s="1"/>
  <c r="D73" i="9"/>
  <c r="J70" i="7"/>
  <c r="I70" i="7"/>
  <c r="H70" i="7"/>
  <c r="D72" i="12"/>
  <c r="E70" i="6"/>
  <c r="F71" i="6" s="1"/>
  <c r="G71" i="6" s="1"/>
  <c r="D71" i="6"/>
  <c r="E72" i="11"/>
  <c r="F73" i="11"/>
  <c r="G73" i="11" s="1"/>
  <c r="D73" i="11"/>
  <c r="E75" i="14" l="1"/>
  <c r="F76" i="14" s="1"/>
  <c r="G76" i="14" s="1"/>
  <c r="J73" i="13"/>
  <c r="I73" i="13"/>
  <c r="H73" i="13"/>
  <c r="J75" i="8"/>
  <c r="I75" i="8"/>
  <c r="H75" i="8"/>
  <c r="J73" i="10"/>
  <c r="I73" i="10"/>
  <c r="H73" i="10"/>
  <c r="J71" i="6"/>
  <c r="I71" i="6"/>
  <c r="H71" i="6"/>
  <c r="J73" i="9"/>
  <c r="I73" i="9"/>
  <c r="H73" i="9"/>
  <c r="E71" i="7"/>
  <c r="D72" i="7" s="1"/>
  <c r="E75" i="8"/>
  <c r="F76" i="8" s="1"/>
  <c r="G76" i="8" s="1"/>
  <c r="D76" i="8"/>
  <c r="J73" i="11"/>
  <c r="I73" i="11"/>
  <c r="H73" i="11"/>
  <c r="J75" i="14"/>
  <c r="I75" i="14"/>
  <c r="H75" i="14"/>
  <c r="E73" i="13"/>
  <c r="D74" i="13" s="1"/>
  <c r="F74" i="13"/>
  <c r="G74" i="13" s="1"/>
  <c r="J72" i="10"/>
  <c r="I72" i="10"/>
  <c r="H72" i="10"/>
  <c r="E73" i="11"/>
  <c r="F74" i="11"/>
  <c r="G74" i="11" s="1"/>
  <c r="D74" i="11"/>
  <c r="E73" i="10"/>
  <c r="D74" i="10" s="1"/>
  <c r="H71" i="7"/>
  <c r="J71" i="7"/>
  <c r="I71" i="7"/>
  <c r="E71" i="6"/>
  <c r="F72" i="6" s="1"/>
  <c r="G72" i="6" s="1"/>
  <c r="D72" i="6"/>
  <c r="E72" i="12"/>
  <c r="F73" i="12" s="1"/>
  <c r="G73" i="12" s="1"/>
  <c r="D73" i="12"/>
  <c r="E73" i="9"/>
  <c r="F74" i="9" s="1"/>
  <c r="G74" i="9" s="1"/>
  <c r="E74" i="13" l="1"/>
  <c r="F75" i="13"/>
  <c r="G75" i="13" s="1"/>
  <c r="D75" i="13"/>
  <c r="H74" i="9"/>
  <c r="J74" i="9"/>
  <c r="I74" i="9"/>
  <c r="J76" i="8"/>
  <c r="I76" i="8"/>
  <c r="H76" i="8"/>
  <c r="J72" i="6"/>
  <c r="I72" i="6"/>
  <c r="H72" i="6"/>
  <c r="E74" i="10"/>
  <c r="D75" i="10" s="1"/>
  <c r="F75" i="10"/>
  <c r="G75" i="10" s="1"/>
  <c r="E72" i="7"/>
  <c r="F73" i="7" s="1"/>
  <c r="G73" i="7" s="1"/>
  <c r="I73" i="12"/>
  <c r="H73" i="12"/>
  <c r="J73" i="12"/>
  <c r="J76" i="14"/>
  <c r="I76" i="14"/>
  <c r="H76" i="14"/>
  <c r="E76" i="8"/>
  <c r="F77" i="8" s="1"/>
  <c r="G77" i="8" s="1"/>
  <c r="F72" i="7"/>
  <c r="G72" i="7" s="1"/>
  <c r="D73" i="6"/>
  <c r="E72" i="6"/>
  <c r="F73" i="6" s="1"/>
  <c r="G73" i="6" s="1"/>
  <c r="F74" i="10"/>
  <c r="G74" i="10" s="1"/>
  <c r="I74" i="13"/>
  <c r="H74" i="13"/>
  <c r="J74" i="13"/>
  <c r="D74" i="9"/>
  <c r="E73" i="12"/>
  <c r="D74" i="12"/>
  <c r="F74" i="12"/>
  <c r="G74" i="12" s="1"/>
  <c r="E74" i="11"/>
  <c r="F75" i="11" s="1"/>
  <c r="G75" i="11" s="1"/>
  <c r="D75" i="11"/>
  <c r="D76" i="14"/>
  <c r="H74" i="11"/>
  <c r="I74" i="11"/>
  <c r="J74" i="11"/>
  <c r="H73" i="6" l="1"/>
  <c r="J73" i="6"/>
  <c r="I73" i="6"/>
  <c r="I77" i="8"/>
  <c r="H77" i="8"/>
  <c r="J77" i="8"/>
  <c r="J73" i="7"/>
  <c r="H73" i="7"/>
  <c r="I73" i="7"/>
  <c r="E75" i="10"/>
  <c r="D76" i="10" s="1"/>
  <c r="J75" i="11"/>
  <c r="I75" i="11"/>
  <c r="H75" i="11"/>
  <c r="E73" i="6"/>
  <c r="D74" i="6" s="1"/>
  <c r="D77" i="8"/>
  <c r="J72" i="7"/>
  <c r="H72" i="7"/>
  <c r="I72" i="7"/>
  <c r="D73" i="7"/>
  <c r="I75" i="10"/>
  <c r="H75" i="10"/>
  <c r="J75" i="10"/>
  <c r="E76" i="14"/>
  <c r="F77" i="14" s="1"/>
  <c r="G77" i="14" s="1"/>
  <c r="J74" i="10"/>
  <c r="I74" i="10"/>
  <c r="H74" i="10"/>
  <c r="E75" i="11"/>
  <c r="F76" i="11"/>
  <c r="G76" i="11" s="1"/>
  <c r="D76" i="11"/>
  <c r="I74" i="12"/>
  <c r="J74" i="12"/>
  <c r="H74" i="12"/>
  <c r="E74" i="12"/>
  <c r="D75" i="12" s="1"/>
  <c r="E74" i="9"/>
  <c r="F75" i="9"/>
  <c r="G75" i="9" s="1"/>
  <c r="D75" i="9"/>
  <c r="E75" i="13"/>
  <c r="F76" i="13" s="1"/>
  <c r="G76" i="13" s="1"/>
  <c r="J75" i="13"/>
  <c r="I75" i="13"/>
  <c r="H75" i="13"/>
  <c r="E74" i="6" l="1"/>
  <c r="F75" i="6"/>
  <c r="G75" i="6" s="1"/>
  <c r="D75" i="6"/>
  <c r="J77" i="14"/>
  <c r="I77" i="14"/>
  <c r="H77" i="14"/>
  <c r="E76" i="10"/>
  <c r="F77" i="10" s="1"/>
  <c r="G77" i="10" s="1"/>
  <c r="J76" i="13"/>
  <c r="I76" i="13"/>
  <c r="H76" i="13"/>
  <c r="E75" i="12"/>
  <c r="D76" i="12" s="1"/>
  <c r="D77" i="14"/>
  <c r="E77" i="8"/>
  <c r="F78" i="8"/>
  <c r="G78" i="8" s="1"/>
  <c r="D78" i="8"/>
  <c r="E73" i="7"/>
  <c r="F74" i="7" s="1"/>
  <c r="G74" i="7" s="1"/>
  <c r="F74" i="6"/>
  <c r="G74" i="6" s="1"/>
  <c r="J75" i="9"/>
  <c r="I75" i="9"/>
  <c r="H75" i="9"/>
  <c r="F76" i="10"/>
  <c r="G76" i="10" s="1"/>
  <c r="D76" i="9"/>
  <c r="E75" i="9"/>
  <c r="F76" i="9" s="1"/>
  <c r="G76" i="9" s="1"/>
  <c r="F75" i="12"/>
  <c r="G75" i="12" s="1"/>
  <c r="J76" i="11"/>
  <c r="I76" i="11"/>
  <c r="H76" i="11"/>
  <c r="D76" i="13"/>
  <c r="E76" i="11"/>
  <c r="F77" i="11" s="1"/>
  <c r="G77" i="11" s="1"/>
  <c r="D77" i="11"/>
  <c r="J76" i="9" l="1"/>
  <c r="I76" i="9"/>
  <c r="H76" i="9"/>
  <c r="I77" i="11"/>
  <c r="J77" i="11"/>
  <c r="H77" i="11"/>
  <c r="J74" i="7"/>
  <c r="H74" i="7"/>
  <c r="I74" i="7"/>
  <c r="E76" i="12"/>
  <c r="F77" i="12" s="1"/>
  <c r="G77" i="12" s="1"/>
  <c r="D77" i="12"/>
  <c r="J77" i="10"/>
  <c r="I77" i="10"/>
  <c r="H77" i="10"/>
  <c r="H74" i="6"/>
  <c r="I74" i="6"/>
  <c r="J74" i="6"/>
  <c r="D74" i="7"/>
  <c r="E76" i="9"/>
  <c r="D77" i="9" s="1"/>
  <c r="E77" i="14"/>
  <c r="D78" i="14" s="1"/>
  <c r="F76" i="12"/>
  <c r="G76" i="12" s="1"/>
  <c r="I76" i="10"/>
  <c r="J76" i="10"/>
  <c r="H76" i="10"/>
  <c r="E78" i="8"/>
  <c r="D79" i="8" s="1"/>
  <c r="E77" i="11"/>
  <c r="F78" i="11" s="1"/>
  <c r="G78" i="11" s="1"/>
  <c r="D78" i="11"/>
  <c r="J75" i="12"/>
  <c r="I75" i="12"/>
  <c r="H75" i="12"/>
  <c r="H78" i="8"/>
  <c r="J78" i="8"/>
  <c r="I78" i="8"/>
  <c r="D77" i="10"/>
  <c r="E76" i="13"/>
  <c r="F77" i="13" s="1"/>
  <c r="G77" i="13" s="1"/>
  <c r="D77" i="13"/>
  <c r="E75" i="6"/>
  <c r="F76" i="6"/>
  <c r="G76" i="6" s="1"/>
  <c r="D76" i="6"/>
  <c r="H75" i="6"/>
  <c r="I75" i="6"/>
  <c r="J75" i="6"/>
  <c r="J78" i="11" l="1"/>
  <c r="I78" i="11"/>
  <c r="H78" i="11"/>
  <c r="E78" i="14"/>
  <c r="F79" i="14" s="1"/>
  <c r="G79" i="14" s="1"/>
  <c r="E79" i="8"/>
  <c r="D80" i="8" s="1"/>
  <c r="E77" i="9"/>
  <c r="F78" i="9" s="1"/>
  <c r="G78" i="9" s="1"/>
  <c r="J77" i="12"/>
  <c r="I77" i="12"/>
  <c r="H77" i="12"/>
  <c r="J77" i="13"/>
  <c r="I77" i="13"/>
  <c r="H77" i="13"/>
  <c r="F79" i="8"/>
  <c r="G79" i="8" s="1"/>
  <c r="F78" i="14"/>
  <c r="G78" i="14" s="1"/>
  <c r="F77" i="9"/>
  <c r="G77" i="9" s="1"/>
  <c r="E76" i="6"/>
  <c r="D77" i="6" s="1"/>
  <c r="E77" i="13"/>
  <c r="F78" i="13"/>
  <c r="G78" i="13" s="1"/>
  <c r="D78" i="13"/>
  <c r="H76" i="6"/>
  <c r="I76" i="6"/>
  <c r="J76" i="6"/>
  <c r="J76" i="12"/>
  <c r="I76" i="12"/>
  <c r="H76" i="12"/>
  <c r="E77" i="12"/>
  <c r="F78" i="12"/>
  <c r="G78" i="12" s="1"/>
  <c r="D78" i="12"/>
  <c r="E77" i="10"/>
  <c r="F78" i="10"/>
  <c r="G78" i="10" s="1"/>
  <c r="D78" i="10"/>
  <c r="E74" i="7"/>
  <c r="F75" i="7" s="1"/>
  <c r="G75" i="7" s="1"/>
  <c r="D75" i="7"/>
  <c r="E78" i="11"/>
  <c r="F79" i="11"/>
  <c r="G79" i="11" s="1"/>
  <c r="D79" i="11"/>
  <c r="J75" i="7" l="1"/>
  <c r="I75" i="7"/>
  <c r="H75" i="7"/>
  <c r="E77" i="6"/>
  <c r="F78" i="6"/>
  <c r="G78" i="6" s="1"/>
  <c r="D78" i="6"/>
  <c r="I78" i="9"/>
  <c r="H78" i="9"/>
  <c r="J78" i="9"/>
  <c r="E80" i="8"/>
  <c r="D81" i="8" s="1"/>
  <c r="J79" i="14"/>
  <c r="I79" i="14"/>
  <c r="H79" i="14"/>
  <c r="F77" i="6"/>
  <c r="G77" i="6" s="1"/>
  <c r="E79" i="11"/>
  <c r="F80" i="11" s="1"/>
  <c r="G80" i="11" s="1"/>
  <c r="D78" i="9"/>
  <c r="E78" i="13"/>
  <c r="F79" i="13" s="1"/>
  <c r="G79" i="13" s="1"/>
  <c r="I79" i="8"/>
  <c r="H79" i="8"/>
  <c r="J79" i="8"/>
  <c r="E75" i="7"/>
  <c r="F76" i="7" s="1"/>
  <c r="G76" i="7" s="1"/>
  <c r="J78" i="13"/>
  <c r="I78" i="13"/>
  <c r="H78" i="13"/>
  <c r="J78" i="14"/>
  <c r="I78" i="14"/>
  <c r="H78" i="14"/>
  <c r="J79" i="11"/>
  <c r="I79" i="11"/>
  <c r="H79" i="11"/>
  <c r="F80" i="8"/>
  <c r="G80" i="8" s="1"/>
  <c r="E78" i="10"/>
  <c r="F79" i="10"/>
  <c r="G79" i="10" s="1"/>
  <c r="D79" i="10"/>
  <c r="D79" i="14"/>
  <c r="J77" i="9"/>
  <c r="I77" i="9"/>
  <c r="H77" i="9"/>
  <c r="I78" i="10"/>
  <c r="H78" i="10"/>
  <c r="J78" i="10"/>
  <c r="E78" i="12"/>
  <c r="D79" i="12" s="1"/>
  <c r="J78" i="12"/>
  <c r="I78" i="12"/>
  <c r="H78" i="12"/>
  <c r="J79" i="13" l="1"/>
  <c r="I79" i="13"/>
  <c r="H79" i="13"/>
  <c r="J76" i="7"/>
  <c r="I76" i="7"/>
  <c r="H76" i="7"/>
  <c r="J80" i="11"/>
  <c r="I80" i="11"/>
  <c r="H80" i="11"/>
  <c r="E79" i="12"/>
  <c r="D80" i="12" s="1"/>
  <c r="E81" i="8"/>
  <c r="F82" i="8" s="1"/>
  <c r="G82" i="8" s="1"/>
  <c r="D82" i="8"/>
  <c r="D79" i="13"/>
  <c r="E78" i="9"/>
  <c r="D79" i="9" s="1"/>
  <c r="D76" i="7"/>
  <c r="F79" i="12"/>
  <c r="G79" i="12" s="1"/>
  <c r="J77" i="6"/>
  <c r="I77" i="6"/>
  <c r="H77" i="6"/>
  <c r="E79" i="14"/>
  <c r="F80" i="14" s="1"/>
  <c r="G80" i="14" s="1"/>
  <c r="J79" i="10"/>
  <c r="I79" i="10"/>
  <c r="H79" i="10"/>
  <c r="D80" i="11"/>
  <c r="F81" i="8"/>
  <c r="G81" i="8" s="1"/>
  <c r="J78" i="6"/>
  <c r="I78" i="6"/>
  <c r="H78" i="6"/>
  <c r="E79" i="10"/>
  <c r="F80" i="10"/>
  <c r="G80" i="10" s="1"/>
  <c r="D80" i="10"/>
  <c r="J80" i="8"/>
  <c r="I80" i="8"/>
  <c r="H80" i="8"/>
  <c r="E78" i="6"/>
  <c r="D79" i="6" s="1"/>
  <c r="J80" i="14" l="1"/>
  <c r="I80" i="14"/>
  <c r="H80" i="14"/>
  <c r="E79" i="9"/>
  <c r="F80" i="9" s="1"/>
  <c r="G80" i="9" s="1"/>
  <c r="D80" i="9"/>
  <c r="I82" i="8"/>
  <c r="H82" i="8"/>
  <c r="J82" i="8"/>
  <c r="E80" i="12"/>
  <c r="D81" i="12" s="1"/>
  <c r="E79" i="6"/>
  <c r="F80" i="6" s="1"/>
  <c r="G80" i="6" s="1"/>
  <c r="H81" i="8"/>
  <c r="J81" i="8"/>
  <c r="I81" i="8"/>
  <c r="E80" i="11"/>
  <c r="D81" i="11" s="1"/>
  <c r="D77" i="7"/>
  <c r="E76" i="7"/>
  <c r="F77" i="7" s="1"/>
  <c r="G77" i="7" s="1"/>
  <c r="D80" i="13"/>
  <c r="E79" i="13"/>
  <c r="F80" i="13" s="1"/>
  <c r="G80" i="13" s="1"/>
  <c r="F79" i="6"/>
  <c r="G79" i="6" s="1"/>
  <c r="F79" i="9"/>
  <c r="G79" i="9" s="1"/>
  <c r="E82" i="8"/>
  <c r="F83" i="8" s="1"/>
  <c r="G83" i="8" s="1"/>
  <c r="F80" i="12"/>
  <c r="G80" i="12" s="1"/>
  <c r="J79" i="12"/>
  <c r="I79" i="12"/>
  <c r="H79" i="12"/>
  <c r="E80" i="10"/>
  <c r="F81" i="10" s="1"/>
  <c r="G81" i="10" s="1"/>
  <c r="D81" i="10"/>
  <c r="D80" i="14"/>
  <c r="J80" i="10"/>
  <c r="I80" i="10"/>
  <c r="H80" i="10"/>
  <c r="J83" i="8" l="1"/>
  <c r="I83" i="8"/>
  <c r="H83" i="8"/>
  <c r="J77" i="7"/>
  <c r="I77" i="7"/>
  <c r="H77" i="7"/>
  <c r="J81" i="10"/>
  <c r="I81" i="10"/>
  <c r="H81" i="10"/>
  <c r="J80" i="13"/>
  <c r="I80" i="13"/>
  <c r="H80" i="13"/>
  <c r="E81" i="11"/>
  <c r="F82" i="11" s="1"/>
  <c r="G82" i="11" s="1"/>
  <c r="J80" i="6"/>
  <c r="I80" i="6"/>
  <c r="H80" i="6"/>
  <c r="F82" i="12"/>
  <c r="G82" i="12" s="1"/>
  <c r="E81" i="12"/>
  <c r="D82" i="12"/>
  <c r="J80" i="9"/>
  <c r="I80" i="9"/>
  <c r="H80" i="9"/>
  <c r="J79" i="6"/>
  <c r="I79" i="6"/>
  <c r="H79" i="6"/>
  <c r="E77" i="7"/>
  <c r="F78" i="7" s="1"/>
  <c r="G78" i="7" s="1"/>
  <c r="E80" i="13"/>
  <c r="D81" i="13" s="1"/>
  <c r="F81" i="13"/>
  <c r="G81" i="13" s="1"/>
  <c r="F81" i="11"/>
  <c r="G81" i="11" s="1"/>
  <c r="I79" i="9"/>
  <c r="H79" i="9"/>
  <c r="J79" i="9"/>
  <c r="F81" i="12"/>
  <c r="G81" i="12" s="1"/>
  <c r="E81" i="10"/>
  <c r="F82" i="10" s="1"/>
  <c r="G82" i="10" s="1"/>
  <c r="D82" i="10"/>
  <c r="D83" i="8"/>
  <c r="D80" i="6"/>
  <c r="E80" i="14"/>
  <c r="F81" i="14" s="1"/>
  <c r="G81" i="14" s="1"/>
  <c r="D81" i="14"/>
  <c r="E80" i="9"/>
  <c r="F81" i="9" s="1"/>
  <c r="G81" i="9" s="1"/>
  <c r="D81" i="9"/>
  <c r="J80" i="12"/>
  <c r="I80" i="12"/>
  <c r="H80" i="12"/>
  <c r="I78" i="7" l="1"/>
  <c r="J78" i="7"/>
  <c r="H78" i="7"/>
  <c r="J82" i="11"/>
  <c r="I82" i="11"/>
  <c r="H82" i="11"/>
  <c r="E81" i="13"/>
  <c r="F82" i="13" s="1"/>
  <c r="G82" i="13" s="1"/>
  <c r="D82" i="13"/>
  <c r="I81" i="9"/>
  <c r="H81" i="9"/>
  <c r="J81" i="9"/>
  <c r="J81" i="14"/>
  <c r="I81" i="14"/>
  <c r="H81" i="14"/>
  <c r="H82" i="10"/>
  <c r="J82" i="10"/>
  <c r="I82" i="10"/>
  <c r="D78" i="7"/>
  <c r="E82" i="12"/>
  <c r="D83" i="12" s="1"/>
  <c r="J81" i="13"/>
  <c r="I81" i="13"/>
  <c r="H81" i="13"/>
  <c r="J82" i="12"/>
  <c r="I82" i="12"/>
  <c r="H82" i="12"/>
  <c r="E81" i="14"/>
  <c r="F82" i="14" s="1"/>
  <c r="G82" i="14" s="1"/>
  <c r="D82" i="14"/>
  <c r="F81" i="6"/>
  <c r="G81" i="6" s="1"/>
  <c r="E80" i="6"/>
  <c r="D81" i="6"/>
  <c r="E81" i="9"/>
  <c r="F82" i="9" s="1"/>
  <c r="G82" i="9" s="1"/>
  <c r="E83" i="8"/>
  <c r="F84" i="8" s="1"/>
  <c r="G84" i="8" s="1"/>
  <c r="D84" i="8"/>
  <c r="E82" i="10"/>
  <c r="F83" i="10"/>
  <c r="G83" i="10" s="1"/>
  <c r="D83" i="10"/>
  <c r="J81" i="12"/>
  <c r="H81" i="12"/>
  <c r="I81" i="12"/>
  <c r="J81" i="11"/>
  <c r="H81" i="11"/>
  <c r="I81" i="11"/>
  <c r="D82" i="11"/>
  <c r="H82" i="9" l="1"/>
  <c r="J82" i="9"/>
  <c r="I82" i="9"/>
  <c r="H84" i="8"/>
  <c r="I84" i="8"/>
  <c r="J84" i="8"/>
  <c r="J82" i="14"/>
  <c r="I82" i="14"/>
  <c r="H82" i="14"/>
  <c r="E83" i="12"/>
  <c r="F84" i="12"/>
  <c r="G84" i="12" s="1"/>
  <c r="D84" i="12"/>
  <c r="J82" i="13"/>
  <c r="H82" i="13"/>
  <c r="I82" i="13"/>
  <c r="E82" i="14"/>
  <c r="D83" i="14" s="1"/>
  <c r="F83" i="12"/>
  <c r="G83" i="12" s="1"/>
  <c r="D83" i="11"/>
  <c r="E82" i="11"/>
  <c r="F83" i="11" s="1"/>
  <c r="G83" i="11" s="1"/>
  <c r="J83" i="10"/>
  <c r="I83" i="10"/>
  <c r="H83" i="10"/>
  <c r="E82" i="13"/>
  <c r="F83" i="13" s="1"/>
  <c r="G83" i="13" s="1"/>
  <c r="I81" i="6"/>
  <c r="J81" i="6"/>
  <c r="H81" i="6"/>
  <c r="E78" i="7"/>
  <c r="F79" i="7" s="1"/>
  <c r="G79" i="7" s="1"/>
  <c r="E83" i="10"/>
  <c r="F84" i="10"/>
  <c r="G84" i="10" s="1"/>
  <c r="D84" i="10"/>
  <c r="E84" i="8"/>
  <c r="F85" i="8"/>
  <c r="G85" i="8" s="1"/>
  <c r="D85" i="8"/>
  <c r="D82" i="9"/>
  <c r="E81" i="6"/>
  <c r="F82" i="6"/>
  <c r="G82" i="6" s="1"/>
  <c r="D82" i="6"/>
  <c r="J79" i="7" l="1"/>
  <c r="I79" i="7"/>
  <c r="H79" i="7"/>
  <c r="J83" i="13"/>
  <c r="I83" i="13"/>
  <c r="H83" i="13"/>
  <c r="J83" i="11"/>
  <c r="I83" i="11"/>
  <c r="H83" i="11"/>
  <c r="E83" i="14"/>
  <c r="D84" i="14" s="1"/>
  <c r="J83" i="12"/>
  <c r="I83" i="12"/>
  <c r="H83" i="12"/>
  <c r="D83" i="13"/>
  <c r="F83" i="14"/>
  <c r="G83" i="14" s="1"/>
  <c r="J82" i="6"/>
  <c r="I82" i="6"/>
  <c r="H82" i="6"/>
  <c r="E84" i="12"/>
  <c r="F85" i="12" s="1"/>
  <c r="G85" i="12" s="1"/>
  <c r="I84" i="12"/>
  <c r="H84" i="12"/>
  <c r="J84" i="12"/>
  <c r="E85" i="8"/>
  <c r="F86" i="8" s="1"/>
  <c r="G86" i="8" s="1"/>
  <c r="E83" i="11"/>
  <c r="F84" i="11"/>
  <c r="G84" i="11" s="1"/>
  <c r="D84" i="11"/>
  <c r="E82" i="6"/>
  <c r="D83" i="6" s="1"/>
  <c r="E82" i="9"/>
  <c r="F83" i="9"/>
  <c r="G83" i="9" s="1"/>
  <c r="D83" i="9"/>
  <c r="J85" i="8"/>
  <c r="I85" i="8"/>
  <c r="H85" i="8"/>
  <c r="E84" i="10"/>
  <c r="D85" i="10" s="1"/>
  <c r="F85" i="10"/>
  <c r="G85" i="10" s="1"/>
  <c r="J84" i="10"/>
  <c r="I84" i="10"/>
  <c r="H84" i="10"/>
  <c r="D79" i="7"/>
  <c r="J86" i="8" l="1"/>
  <c r="I86" i="8"/>
  <c r="H86" i="8"/>
  <c r="E83" i="6"/>
  <c r="F84" i="6" s="1"/>
  <c r="G84" i="6" s="1"/>
  <c r="J85" i="12"/>
  <c r="I85" i="12"/>
  <c r="H85" i="12"/>
  <c r="E84" i="14"/>
  <c r="F85" i="14" s="1"/>
  <c r="G85" i="14" s="1"/>
  <c r="D85" i="14"/>
  <c r="E85" i="10"/>
  <c r="D86" i="10" s="1"/>
  <c r="D86" i="8"/>
  <c r="J84" i="11"/>
  <c r="I84" i="11"/>
  <c r="H84" i="11"/>
  <c r="J83" i="14"/>
  <c r="I83" i="14"/>
  <c r="H83" i="14"/>
  <c r="E84" i="11"/>
  <c r="F85" i="11" s="1"/>
  <c r="G85" i="11" s="1"/>
  <c r="F84" i="14"/>
  <c r="G84" i="14" s="1"/>
  <c r="D85" i="12"/>
  <c r="E79" i="7"/>
  <c r="F80" i="7" s="1"/>
  <c r="G80" i="7" s="1"/>
  <c r="D80" i="7"/>
  <c r="J85" i="10"/>
  <c r="I85" i="10"/>
  <c r="H85" i="10"/>
  <c r="E83" i="13"/>
  <c r="F84" i="13" s="1"/>
  <c r="G84" i="13" s="1"/>
  <c r="D84" i="13"/>
  <c r="E83" i="9"/>
  <c r="F84" i="9" s="1"/>
  <c r="G84" i="9" s="1"/>
  <c r="D84" i="9"/>
  <c r="J83" i="9"/>
  <c r="I83" i="9"/>
  <c r="H83" i="9"/>
  <c r="F83" i="6"/>
  <c r="G83" i="6" s="1"/>
  <c r="J84" i="9" l="1"/>
  <c r="I84" i="9"/>
  <c r="H84" i="9"/>
  <c r="J80" i="7"/>
  <c r="H80" i="7"/>
  <c r="I80" i="7"/>
  <c r="J84" i="13"/>
  <c r="I84" i="13"/>
  <c r="H84" i="13"/>
  <c r="J85" i="11"/>
  <c r="I85" i="11"/>
  <c r="H85" i="11"/>
  <c r="E86" i="10"/>
  <c r="F87" i="10" s="1"/>
  <c r="G87" i="10" s="1"/>
  <c r="J85" i="14"/>
  <c r="I85" i="14"/>
  <c r="H85" i="14"/>
  <c r="I84" i="6"/>
  <c r="H84" i="6"/>
  <c r="J84" i="6"/>
  <c r="D85" i="11"/>
  <c r="E86" i="8"/>
  <c r="F87" i="8" s="1"/>
  <c r="G87" i="8" s="1"/>
  <c r="D87" i="8"/>
  <c r="E80" i="7"/>
  <c r="F81" i="7" s="1"/>
  <c r="G81" i="7" s="1"/>
  <c r="J84" i="14"/>
  <c r="I84" i="14"/>
  <c r="H84" i="14"/>
  <c r="H83" i="6"/>
  <c r="J83" i="6"/>
  <c r="I83" i="6"/>
  <c r="F86" i="10"/>
  <c r="G86" i="10" s="1"/>
  <c r="E84" i="9"/>
  <c r="F85" i="9"/>
  <c r="G85" i="9" s="1"/>
  <c r="D85" i="9"/>
  <c r="E85" i="12"/>
  <c r="F86" i="12" s="1"/>
  <c r="G86" i="12" s="1"/>
  <c r="D86" i="12"/>
  <c r="E85" i="14"/>
  <c r="D86" i="14" s="1"/>
  <c r="D84" i="6"/>
  <c r="E84" i="13"/>
  <c r="F85" i="13" s="1"/>
  <c r="G85" i="13" s="1"/>
  <c r="D85" i="13"/>
  <c r="I87" i="8" l="1"/>
  <c r="H87" i="8"/>
  <c r="J87" i="8"/>
  <c r="I81" i="7"/>
  <c r="H81" i="7"/>
  <c r="J81" i="7"/>
  <c r="I87" i="10"/>
  <c r="J87" i="10"/>
  <c r="H87" i="10"/>
  <c r="J85" i="13"/>
  <c r="I85" i="13"/>
  <c r="H85" i="13"/>
  <c r="E86" i="14"/>
  <c r="D87" i="14" s="1"/>
  <c r="J86" i="12"/>
  <c r="I86" i="12"/>
  <c r="H86" i="12"/>
  <c r="D81" i="7"/>
  <c r="E85" i="11"/>
  <c r="D86" i="11" s="1"/>
  <c r="E87" i="8"/>
  <c r="D88" i="8" s="1"/>
  <c r="F88" i="8"/>
  <c r="G88" i="8" s="1"/>
  <c r="D87" i="10"/>
  <c r="F86" i="14"/>
  <c r="G86" i="14" s="1"/>
  <c r="E84" i="6"/>
  <c r="F85" i="6" s="1"/>
  <c r="G85" i="6" s="1"/>
  <c r="D85" i="6"/>
  <c r="E86" i="12"/>
  <c r="D87" i="12" s="1"/>
  <c r="J85" i="9"/>
  <c r="I85" i="9"/>
  <c r="H85" i="9"/>
  <c r="E85" i="13"/>
  <c r="F86" i="13" s="1"/>
  <c r="G86" i="13" s="1"/>
  <c r="D86" i="13"/>
  <c r="E85" i="9"/>
  <c r="F86" i="9" s="1"/>
  <c r="G86" i="9" s="1"/>
  <c r="D86" i="9"/>
  <c r="J86" i="10"/>
  <c r="I86" i="10"/>
  <c r="H86" i="10"/>
  <c r="H86" i="9" l="1"/>
  <c r="J86" i="9"/>
  <c r="I86" i="9"/>
  <c r="E87" i="12"/>
  <c r="F88" i="12" s="1"/>
  <c r="G88" i="12" s="1"/>
  <c r="D88" i="12"/>
  <c r="J86" i="13"/>
  <c r="I86" i="13"/>
  <c r="H86" i="13"/>
  <c r="H85" i="6"/>
  <c r="J85" i="6"/>
  <c r="I85" i="6"/>
  <c r="D89" i="8"/>
  <c r="E88" i="8"/>
  <c r="F89" i="8" s="1"/>
  <c r="G89" i="8" s="1"/>
  <c r="E86" i="11"/>
  <c r="F87" i="11" s="1"/>
  <c r="G87" i="11" s="1"/>
  <c r="D87" i="11"/>
  <c r="E87" i="14"/>
  <c r="F88" i="14" s="1"/>
  <c r="G88" i="14" s="1"/>
  <c r="E85" i="6"/>
  <c r="F86" i="6" s="1"/>
  <c r="G86" i="6" s="1"/>
  <c r="D86" i="6"/>
  <c r="J88" i="8"/>
  <c r="H88" i="8"/>
  <c r="I88" i="8"/>
  <c r="E81" i="7"/>
  <c r="F82" i="7" s="1"/>
  <c r="G82" i="7" s="1"/>
  <c r="F87" i="14"/>
  <c r="G87" i="14" s="1"/>
  <c r="F87" i="12"/>
  <c r="G87" i="12" s="1"/>
  <c r="E87" i="10"/>
  <c r="F88" i="10" s="1"/>
  <c r="G88" i="10" s="1"/>
  <c r="D88" i="10"/>
  <c r="F86" i="11"/>
  <c r="G86" i="11" s="1"/>
  <c r="E86" i="9"/>
  <c r="F87" i="9"/>
  <c r="G87" i="9" s="1"/>
  <c r="D87" i="9"/>
  <c r="E86" i="13"/>
  <c r="F87" i="13" s="1"/>
  <c r="G87" i="13" s="1"/>
  <c r="J86" i="14"/>
  <c r="I86" i="14"/>
  <c r="H86" i="14"/>
  <c r="J88" i="10" l="1"/>
  <c r="I88" i="10"/>
  <c r="H88" i="10"/>
  <c r="J87" i="13"/>
  <c r="H87" i="13"/>
  <c r="I87" i="13"/>
  <c r="H86" i="6"/>
  <c r="J86" i="6"/>
  <c r="I86" i="6"/>
  <c r="I87" i="11"/>
  <c r="H87" i="11"/>
  <c r="J87" i="11"/>
  <c r="I82" i="7"/>
  <c r="J82" i="7"/>
  <c r="H82" i="7"/>
  <c r="J88" i="14"/>
  <c r="I88" i="14"/>
  <c r="H88" i="14"/>
  <c r="J89" i="8"/>
  <c r="I89" i="8"/>
  <c r="H89" i="8"/>
  <c r="J88" i="12"/>
  <c r="I88" i="12"/>
  <c r="H88" i="12"/>
  <c r="H87" i="12"/>
  <c r="J87" i="12"/>
  <c r="I87" i="12"/>
  <c r="D82" i="7"/>
  <c r="J87" i="14"/>
  <c r="I87" i="14"/>
  <c r="H87" i="14"/>
  <c r="E87" i="11"/>
  <c r="F88" i="11" s="1"/>
  <c r="G88" i="11" s="1"/>
  <c r="E86" i="6"/>
  <c r="F87" i="6"/>
  <c r="G87" i="6" s="1"/>
  <c r="D87" i="6"/>
  <c r="D88" i="14"/>
  <c r="D87" i="13"/>
  <c r="I87" i="9"/>
  <c r="H87" i="9"/>
  <c r="J87" i="9"/>
  <c r="F90" i="8"/>
  <c r="G90" i="8" s="1"/>
  <c r="E89" i="8"/>
  <c r="D90" i="8" s="1"/>
  <c r="E87" i="9"/>
  <c r="F88" i="9"/>
  <c r="G88" i="9" s="1"/>
  <c r="D88" i="9"/>
  <c r="E88" i="12"/>
  <c r="F89" i="12" s="1"/>
  <c r="G89" i="12" s="1"/>
  <c r="H86" i="11"/>
  <c r="J86" i="11"/>
  <c r="I86" i="11"/>
  <c r="F89" i="10"/>
  <c r="G89" i="10" s="1"/>
  <c r="E88" i="10"/>
  <c r="D89" i="10"/>
  <c r="I88" i="11" l="1"/>
  <c r="H88" i="11"/>
  <c r="J88" i="11"/>
  <c r="J89" i="12"/>
  <c r="I89" i="12"/>
  <c r="H89" i="12"/>
  <c r="E90" i="8"/>
  <c r="F91" i="8" s="1"/>
  <c r="G91" i="8" s="1"/>
  <c r="D91" i="8"/>
  <c r="E89" i="10"/>
  <c r="F90" i="10" s="1"/>
  <c r="G90" i="10" s="1"/>
  <c r="D90" i="10"/>
  <c r="E82" i="7"/>
  <c r="F83" i="7" s="1"/>
  <c r="G83" i="7" s="1"/>
  <c r="D83" i="7"/>
  <c r="J89" i="10"/>
  <c r="I89" i="10"/>
  <c r="H89" i="10"/>
  <c r="J88" i="9"/>
  <c r="I88" i="9"/>
  <c r="H88" i="9"/>
  <c r="I90" i="8"/>
  <c r="H90" i="8"/>
  <c r="J90" i="8"/>
  <c r="E87" i="13"/>
  <c r="D88" i="13" s="1"/>
  <c r="E88" i="14"/>
  <c r="F89" i="14" s="1"/>
  <c r="G89" i="14" s="1"/>
  <c r="J87" i="6"/>
  <c r="I87" i="6"/>
  <c r="H87" i="6"/>
  <c r="D89" i="12"/>
  <c r="E88" i="9"/>
  <c r="F89" i="9" s="1"/>
  <c r="G89" i="9" s="1"/>
  <c r="D89" i="9"/>
  <c r="E87" i="6"/>
  <c r="F88" i="6" s="1"/>
  <c r="G88" i="6" s="1"/>
  <c r="D88" i="6"/>
  <c r="D88" i="11"/>
  <c r="E88" i="13" l="1"/>
  <c r="F89" i="13" s="1"/>
  <c r="G89" i="13" s="1"/>
  <c r="D89" i="13"/>
  <c r="J88" i="6"/>
  <c r="I88" i="6"/>
  <c r="H88" i="6"/>
  <c r="J89" i="9"/>
  <c r="I89" i="9"/>
  <c r="H89" i="9"/>
  <c r="J89" i="14"/>
  <c r="I89" i="14"/>
  <c r="H89" i="14"/>
  <c r="I83" i="7"/>
  <c r="J83" i="7"/>
  <c r="H83" i="7"/>
  <c r="H90" i="10"/>
  <c r="I90" i="10"/>
  <c r="J90" i="10"/>
  <c r="H91" i="8"/>
  <c r="J91" i="8"/>
  <c r="I91" i="8"/>
  <c r="E83" i="7"/>
  <c r="F84" i="7" s="1"/>
  <c r="G84" i="7" s="1"/>
  <c r="E90" i="10"/>
  <c r="F91" i="10"/>
  <c r="G91" i="10" s="1"/>
  <c r="D91" i="10"/>
  <c r="D89" i="14"/>
  <c r="E91" i="8"/>
  <c r="D92" i="8" s="1"/>
  <c r="F88" i="13"/>
  <c r="G88" i="13" s="1"/>
  <c r="E88" i="6"/>
  <c r="F89" i="6" s="1"/>
  <c r="G89" i="6" s="1"/>
  <c r="E89" i="9"/>
  <c r="F90" i="9" s="1"/>
  <c r="G90" i="9" s="1"/>
  <c r="E88" i="11"/>
  <c r="F89" i="11"/>
  <c r="G89" i="11" s="1"/>
  <c r="D89" i="11"/>
  <c r="E89" i="12"/>
  <c r="F90" i="12" s="1"/>
  <c r="G90" i="12" s="1"/>
  <c r="D90" i="12"/>
  <c r="J90" i="9" l="1"/>
  <c r="I90" i="9"/>
  <c r="H90" i="9"/>
  <c r="E92" i="8"/>
  <c r="F93" i="8"/>
  <c r="G93" i="8" s="1"/>
  <c r="D93" i="8"/>
  <c r="H89" i="6"/>
  <c r="J89" i="6"/>
  <c r="I89" i="6"/>
  <c r="J84" i="7"/>
  <c r="I84" i="7"/>
  <c r="H84" i="7"/>
  <c r="H90" i="12"/>
  <c r="J90" i="12"/>
  <c r="I90" i="12"/>
  <c r="J89" i="13"/>
  <c r="I89" i="13"/>
  <c r="H89" i="13"/>
  <c r="J91" i="10"/>
  <c r="I91" i="10"/>
  <c r="H91" i="10"/>
  <c r="F90" i="14"/>
  <c r="G90" i="14" s="1"/>
  <c r="E89" i="14"/>
  <c r="D90" i="14" s="1"/>
  <c r="D84" i="7"/>
  <c r="E90" i="12"/>
  <c r="D91" i="12" s="1"/>
  <c r="F91" i="12"/>
  <c r="G91" i="12" s="1"/>
  <c r="E89" i="11"/>
  <c r="F90" i="11"/>
  <c r="G90" i="11" s="1"/>
  <c r="D90" i="11"/>
  <c r="H88" i="13"/>
  <c r="J88" i="13"/>
  <c r="I88" i="13"/>
  <c r="F92" i="8"/>
  <c r="G92" i="8" s="1"/>
  <c r="H89" i="11"/>
  <c r="J89" i="11"/>
  <c r="I89" i="11"/>
  <c r="E91" i="10"/>
  <c r="F92" i="10"/>
  <c r="G92" i="10" s="1"/>
  <c r="D92" i="10"/>
  <c r="D90" i="9"/>
  <c r="D89" i="6"/>
  <c r="E89" i="13"/>
  <c r="F90" i="13" s="1"/>
  <c r="G90" i="13" s="1"/>
  <c r="E91" i="12" l="1"/>
  <c r="D92" i="12"/>
  <c r="F92" i="12"/>
  <c r="G92" i="12" s="1"/>
  <c r="E90" i="14"/>
  <c r="F91" i="14" s="1"/>
  <c r="G91" i="14" s="1"/>
  <c r="J90" i="13"/>
  <c r="I90" i="13"/>
  <c r="H90" i="13"/>
  <c r="J91" i="12"/>
  <c r="I91" i="12"/>
  <c r="H91" i="12"/>
  <c r="I90" i="11"/>
  <c r="J90" i="11"/>
  <c r="H90" i="11"/>
  <c r="E90" i="11"/>
  <c r="D91" i="11" s="1"/>
  <c r="E84" i="7"/>
  <c r="F85" i="7" s="1"/>
  <c r="G85" i="7" s="1"/>
  <c r="E89" i="6"/>
  <c r="F90" i="6"/>
  <c r="G90" i="6" s="1"/>
  <c r="D90" i="6"/>
  <c r="J90" i="14"/>
  <c r="I90" i="14"/>
  <c r="H90" i="14"/>
  <c r="D90" i="13"/>
  <c r="E92" i="10"/>
  <c r="F93" i="10" s="1"/>
  <c r="G93" i="10" s="1"/>
  <c r="D93" i="10"/>
  <c r="E90" i="9"/>
  <c r="F91" i="9" s="1"/>
  <c r="G91" i="9" s="1"/>
  <c r="J92" i="10"/>
  <c r="I92" i="10"/>
  <c r="H92" i="10"/>
  <c r="E93" i="8"/>
  <c r="F94" i="8" s="1"/>
  <c r="G94" i="8" s="1"/>
  <c r="D94" i="8"/>
  <c r="J93" i="8"/>
  <c r="H93" i="8"/>
  <c r="I93" i="8"/>
  <c r="J92" i="8"/>
  <c r="I92" i="8"/>
  <c r="H92" i="8"/>
  <c r="J91" i="9" l="1"/>
  <c r="I91" i="9"/>
  <c r="H91" i="9"/>
  <c r="J94" i="8"/>
  <c r="I94" i="8"/>
  <c r="H94" i="8"/>
  <c r="J93" i="10"/>
  <c r="I93" i="10"/>
  <c r="H93" i="10"/>
  <c r="J85" i="7"/>
  <c r="H85" i="7"/>
  <c r="I85" i="7"/>
  <c r="E91" i="11"/>
  <c r="D92" i="11" s="1"/>
  <c r="F92" i="11"/>
  <c r="G92" i="11" s="1"/>
  <c r="J91" i="14"/>
  <c r="I91" i="14"/>
  <c r="H91" i="14"/>
  <c r="E90" i="6"/>
  <c r="F91" i="6" s="1"/>
  <c r="G91" i="6" s="1"/>
  <c r="D85" i="7"/>
  <c r="F91" i="11"/>
  <c r="G91" i="11" s="1"/>
  <c r="E93" i="10"/>
  <c r="F94" i="10" s="1"/>
  <c r="G94" i="10" s="1"/>
  <c r="J90" i="6"/>
  <c r="I90" i="6"/>
  <c r="H90" i="6"/>
  <c r="D95" i="8"/>
  <c r="E94" i="8"/>
  <c r="F95" i="8"/>
  <c r="G95" i="8" s="1"/>
  <c r="D91" i="9"/>
  <c r="E90" i="13"/>
  <c r="F91" i="13" s="1"/>
  <c r="G91" i="13" s="1"/>
  <c r="D91" i="13"/>
  <c r="D91" i="14"/>
  <c r="H92" i="12"/>
  <c r="J92" i="12"/>
  <c r="I92" i="12"/>
  <c r="E92" i="12"/>
  <c r="F93" i="12" s="1"/>
  <c r="G93" i="12" s="1"/>
  <c r="H91" i="6" l="1"/>
  <c r="J91" i="6"/>
  <c r="I91" i="6"/>
  <c r="H91" i="13"/>
  <c r="J91" i="13"/>
  <c r="I91" i="13"/>
  <c r="I94" i="10"/>
  <c r="H94" i="10"/>
  <c r="J94" i="10"/>
  <c r="E92" i="11"/>
  <c r="D93" i="11" s="1"/>
  <c r="J93" i="12"/>
  <c r="H93" i="12"/>
  <c r="I93" i="12"/>
  <c r="H91" i="11"/>
  <c r="J91" i="11"/>
  <c r="I91" i="11"/>
  <c r="D94" i="10"/>
  <c r="D91" i="6"/>
  <c r="E95" i="8"/>
  <c r="F96" i="8" s="1"/>
  <c r="G96" i="8" s="1"/>
  <c r="E85" i="7"/>
  <c r="F86" i="7" s="1"/>
  <c r="G86" i="7" s="1"/>
  <c r="I92" i="11"/>
  <c r="J92" i="11"/>
  <c r="H92" i="11"/>
  <c r="D93" i="12"/>
  <c r="E91" i="14"/>
  <c r="F92" i="14" s="1"/>
  <c r="G92" i="14" s="1"/>
  <c r="E91" i="13"/>
  <c r="F92" i="13" s="1"/>
  <c r="G92" i="13" s="1"/>
  <c r="E91" i="9"/>
  <c r="F92" i="9" s="1"/>
  <c r="G92" i="9" s="1"/>
  <c r="J95" i="8"/>
  <c r="I95" i="8"/>
  <c r="H95" i="8"/>
  <c r="H92" i="9" l="1"/>
  <c r="I92" i="9"/>
  <c r="J92" i="9"/>
  <c r="J92" i="14"/>
  <c r="I92" i="14"/>
  <c r="H92" i="14"/>
  <c r="I86" i="7"/>
  <c r="J86" i="7"/>
  <c r="H86" i="7"/>
  <c r="J96" i="8"/>
  <c r="I96" i="8"/>
  <c r="H96" i="8"/>
  <c r="J92" i="13"/>
  <c r="I92" i="13"/>
  <c r="H92" i="13"/>
  <c r="E93" i="11"/>
  <c r="F94" i="11" s="1"/>
  <c r="G94" i="11" s="1"/>
  <c r="E93" i="12"/>
  <c r="D94" i="12" s="1"/>
  <c r="D96" i="8"/>
  <c r="D86" i="7"/>
  <c r="F93" i="11"/>
  <c r="G93" i="11" s="1"/>
  <c r="D92" i="9"/>
  <c r="D92" i="13"/>
  <c r="E94" i="10"/>
  <c r="D95" i="10" s="1"/>
  <c r="F95" i="10"/>
  <c r="G95" i="10" s="1"/>
  <c r="D92" i="14"/>
  <c r="E91" i="6"/>
  <c r="F92" i="6" s="1"/>
  <c r="G92" i="6" s="1"/>
  <c r="I92" i="6" l="1"/>
  <c r="J92" i="6"/>
  <c r="H92" i="6"/>
  <c r="D95" i="12"/>
  <c r="E94" i="12"/>
  <c r="F95" i="12" s="1"/>
  <c r="G95" i="12" s="1"/>
  <c r="E95" i="10"/>
  <c r="D96" i="10" s="1"/>
  <c r="H94" i="11"/>
  <c r="J94" i="11"/>
  <c r="I94" i="11"/>
  <c r="I93" i="11"/>
  <c r="H93" i="11"/>
  <c r="J93" i="11"/>
  <c r="J95" i="10"/>
  <c r="I95" i="10"/>
  <c r="H95" i="10"/>
  <c r="E92" i="9"/>
  <c r="F93" i="9" s="1"/>
  <c r="G93" i="9" s="1"/>
  <c r="D93" i="9"/>
  <c r="E92" i="13"/>
  <c r="D93" i="13" s="1"/>
  <c r="E86" i="7"/>
  <c r="D87" i="7" s="1"/>
  <c r="F87" i="7"/>
  <c r="G87" i="7" s="1"/>
  <c r="E96" i="8"/>
  <c r="D97" i="8" s="1"/>
  <c r="F94" i="12"/>
  <c r="G94" i="12" s="1"/>
  <c r="D94" i="11"/>
  <c r="D92" i="6"/>
  <c r="F93" i="14"/>
  <c r="G93" i="14" s="1"/>
  <c r="E92" i="14"/>
  <c r="D93" i="14"/>
  <c r="E93" i="13" l="1"/>
  <c r="F94" i="13" s="1"/>
  <c r="G94" i="13" s="1"/>
  <c r="E97" i="8"/>
  <c r="F98" i="8" s="1"/>
  <c r="G98" i="8" s="1"/>
  <c r="D98" i="8"/>
  <c r="E87" i="7"/>
  <c r="F88" i="7" s="1"/>
  <c r="G88" i="7" s="1"/>
  <c r="I93" i="9"/>
  <c r="J93" i="9"/>
  <c r="H93" i="9"/>
  <c r="E96" i="10"/>
  <c r="F97" i="10"/>
  <c r="G97" i="10" s="1"/>
  <c r="D97" i="10"/>
  <c r="H95" i="12"/>
  <c r="J95" i="12"/>
  <c r="I95" i="12"/>
  <c r="E94" i="11"/>
  <c r="F95" i="11" s="1"/>
  <c r="G95" i="11" s="1"/>
  <c r="D95" i="11"/>
  <c r="F97" i="8"/>
  <c r="G97" i="8" s="1"/>
  <c r="F93" i="13"/>
  <c r="G93" i="13" s="1"/>
  <c r="I94" i="12"/>
  <c r="H94" i="12"/>
  <c r="J94" i="12"/>
  <c r="E93" i="9"/>
  <c r="F94" i="9" s="1"/>
  <c r="G94" i="9" s="1"/>
  <c r="D94" i="9"/>
  <c r="F96" i="10"/>
  <c r="G96" i="10" s="1"/>
  <c r="E93" i="14"/>
  <c r="F94" i="14" s="1"/>
  <c r="G94" i="14" s="1"/>
  <c r="I87" i="7"/>
  <c r="H87" i="7"/>
  <c r="J87" i="7"/>
  <c r="E95" i="12"/>
  <c r="F96" i="12" s="1"/>
  <c r="G96" i="12" s="1"/>
  <c r="D96" i="12"/>
  <c r="J93" i="14"/>
  <c r="I93" i="14"/>
  <c r="H93" i="14"/>
  <c r="E92" i="6"/>
  <c r="D93" i="6" s="1"/>
  <c r="F93" i="6"/>
  <c r="G93" i="6" s="1"/>
  <c r="J96" i="12" l="1"/>
  <c r="H96" i="12"/>
  <c r="I96" i="12"/>
  <c r="J95" i="11"/>
  <c r="I95" i="11"/>
  <c r="H95" i="11"/>
  <c r="J94" i="9"/>
  <c r="I94" i="9"/>
  <c r="H94" i="9"/>
  <c r="J88" i="7"/>
  <c r="H88" i="7"/>
  <c r="I88" i="7"/>
  <c r="I98" i="8"/>
  <c r="H98" i="8"/>
  <c r="J98" i="8"/>
  <c r="J94" i="14"/>
  <c r="I94" i="14"/>
  <c r="H94" i="14"/>
  <c r="E93" i="6"/>
  <c r="D94" i="6" s="1"/>
  <c r="F94" i="6"/>
  <c r="G94" i="6" s="1"/>
  <c r="I94" i="13"/>
  <c r="H94" i="13"/>
  <c r="J94" i="13"/>
  <c r="J97" i="8"/>
  <c r="I97" i="8"/>
  <c r="H97" i="8"/>
  <c r="E94" i="9"/>
  <c r="F95" i="9"/>
  <c r="G95" i="9" s="1"/>
  <c r="D95" i="9"/>
  <c r="E95" i="11"/>
  <c r="F96" i="11"/>
  <c r="G96" i="11" s="1"/>
  <c r="D96" i="11"/>
  <c r="I97" i="10"/>
  <c r="J97" i="10"/>
  <c r="H97" i="10"/>
  <c r="H93" i="6"/>
  <c r="J93" i="6"/>
  <c r="I93" i="6"/>
  <c r="D88" i="7"/>
  <c r="F99" i="8"/>
  <c r="G99" i="8" s="1"/>
  <c r="E98" i="8"/>
  <c r="D99" i="8"/>
  <c r="J93" i="13"/>
  <c r="I93" i="13"/>
  <c r="H93" i="13"/>
  <c r="E97" i="10"/>
  <c r="F98" i="10" s="1"/>
  <c r="G98" i="10" s="1"/>
  <c r="E96" i="12"/>
  <c r="F97" i="12" s="1"/>
  <c r="G97" i="12" s="1"/>
  <c r="D97" i="12"/>
  <c r="D94" i="14"/>
  <c r="H96" i="10"/>
  <c r="J96" i="10"/>
  <c r="I96" i="10"/>
  <c r="D94" i="13"/>
  <c r="E94" i="6" l="1"/>
  <c r="F95" i="6" s="1"/>
  <c r="G95" i="6" s="1"/>
  <c r="D95" i="6"/>
  <c r="I97" i="12"/>
  <c r="H97" i="12"/>
  <c r="J97" i="12"/>
  <c r="H98" i="10"/>
  <c r="J98" i="10"/>
  <c r="I98" i="10"/>
  <c r="J95" i="9"/>
  <c r="H95" i="9"/>
  <c r="I95" i="9"/>
  <c r="J94" i="6"/>
  <c r="I94" i="6"/>
  <c r="H94" i="6"/>
  <c r="E97" i="12"/>
  <c r="D98" i="12" s="1"/>
  <c r="F98" i="12"/>
  <c r="G98" i="12" s="1"/>
  <c r="E99" i="8"/>
  <c r="F100" i="8" s="1"/>
  <c r="G100" i="8" s="1"/>
  <c r="E94" i="14"/>
  <c r="F95" i="14" s="1"/>
  <c r="G95" i="14" s="1"/>
  <c r="D95" i="14"/>
  <c r="D98" i="10"/>
  <c r="E88" i="7"/>
  <c r="F89" i="7" s="1"/>
  <c r="G89" i="7" s="1"/>
  <c r="H96" i="11"/>
  <c r="J96" i="11"/>
  <c r="I96" i="11"/>
  <c r="E95" i="9"/>
  <c r="F96" i="9" s="1"/>
  <c r="G96" i="9" s="1"/>
  <c r="J99" i="8"/>
  <c r="I99" i="8"/>
  <c r="H99" i="8"/>
  <c r="E96" i="11"/>
  <c r="D97" i="11" s="1"/>
  <c r="E94" i="13"/>
  <c r="D95" i="13" s="1"/>
  <c r="F95" i="13"/>
  <c r="G95" i="13" s="1"/>
  <c r="E97" i="11" l="1"/>
  <c r="F98" i="11"/>
  <c r="G98" i="11" s="1"/>
  <c r="D98" i="11"/>
  <c r="J89" i="7"/>
  <c r="I89" i="7"/>
  <c r="H89" i="7"/>
  <c r="E95" i="13"/>
  <c r="D96" i="13" s="1"/>
  <c r="I100" i="8"/>
  <c r="H100" i="8"/>
  <c r="J100" i="8"/>
  <c r="H96" i="9"/>
  <c r="J96" i="9"/>
  <c r="I96" i="9"/>
  <c r="H95" i="14"/>
  <c r="J95" i="14"/>
  <c r="I95" i="14"/>
  <c r="E98" i="12"/>
  <c r="F99" i="12" s="1"/>
  <c r="G99" i="12" s="1"/>
  <c r="D99" i="12"/>
  <c r="J95" i="6"/>
  <c r="I95" i="6"/>
  <c r="H95" i="6"/>
  <c r="D96" i="9"/>
  <c r="F97" i="11"/>
  <c r="G97" i="11" s="1"/>
  <c r="E98" i="10"/>
  <c r="F99" i="10"/>
  <c r="G99" i="10" s="1"/>
  <c r="D99" i="10"/>
  <c r="E95" i="14"/>
  <c r="F96" i="14"/>
  <c r="G96" i="14" s="1"/>
  <c r="D96" i="14"/>
  <c r="D100" i="8"/>
  <c r="H98" i="12"/>
  <c r="J98" i="12"/>
  <c r="I98" i="12"/>
  <c r="D89" i="7"/>
  <c r="H95" i="13"/>
  <c r="J95" i="13"/>
  <c r="I95" i="13"/>
  <c r="E95" i="6"/>
  <c r="F96" i="6" s="1"/>
  <c r="G96" i="6" s="1"/>
  <c r="D96" i="6"/>
  <c r="H99" i="12" l="1"/>
  <c r="J99" i="12"/>
  <c r="I99" i="12"/>
  <c r="E96" i="13"/>
  <c r="F97" i="13" s="1"/>
  <c r="G97" i="13" s="1"/>
  <c r="D97" i="13"/>
  <c r="J96" i="6"/>
  <c r="I96" i="6"/>
  <c r="H96" i="6"/>
  <c r="E99" i="12"/>
  <c r="F100" i="12" s="1"/>
  <c r="G100" i="12" s="1"/>
  <c r="D100" i="12"/>
  <c r="J97" i="11"/>
  <c r="I97" i="11"/>
  <c r="H97" i="11"/>
  <c r="E96" i="6"/>
  <c r="F97" i="6" s="1"/>
  <c r="G97" i="6" s="1"/>
  <c r="D97" i="6"/>
  <c r="J99" i="10"/>
  <c r="I99" i="10"/>
  <c r="H99" i="10"/>
  <c r="F100" i="10"/>
  <c r="G100" i="10" s="1"/>
  <c r="E99" i="10"/>
  <c r="D100" i="10" s="1"/>
  <c r="E96" i="9"/>
  <c r="F97" i="9"/>
  <c r="G97" i="9" s="1"/>
  <c r="D97" i="9"/>
  <c r="F96" i="13"/>
  <c r="G96" i="13" s="1"/>
  <c r="F101" i="8"/>
  <c r="G101" i="8" s="1"/>
  <c r="E100" i="8"/>
  <c r="D101" i="8"/>
  <c r="E89" i="7"/>
  <c r="F90" i="7" s="1"/>
  <c r="G90" i="7" s="1"/>
  <c r="D97" i="14"/>
  <c r="E96" i="14"/>
  <c r="F97" i="14" s="1"/>
  <c r="G97" i="14" s="1"/>
  <c r="J96" i="14"/>
  <c r="H96" i="14"/>
  <c r="I96" i="14"/>
  <c r="E98" i="11"/>
  <c r="F99" i="11" s="1"/>
  <c r="G99" i="11" s="1"/>
  <c r="D99" i="11"/>
  <c r="I98" i="11"/>
  <c r="J98" i="11"/>
  <c r="H98" i="11"/>
  <c r="J97" i="14" l="1"/>
  <c r="I97" i="14"/>
  <c r="H97" i="14"/>
  <c r="J90" i="7"/>
  <c r="I90" i="7"/>
  <c r="H90" i="7"/>
  <c r="J100" i="12"/>
  <c r="I100" i="12"/>
  <c r="H100" i="12"/>
  <c r="E100" i="10"/>
  <c r="F101" i="10"/>
  <c r="G101" i="10" s="1"/>
  <c r="D101" i="10"/>
  <c r="J97" i="6"/>
  <c r="I97" i="6"/>
  <c r="H97" i="6"/>
  <c r="J97" i="13"/>
  <c r="I97" i="13"/>
  <c r="H97" i="13"/>
  <c r="J99" i="11"/>
  <c r="I99" i="11"/>
  <c r="H99" i="11"/>
  <c r="E99" i="11"/>
  <c r="F100" i="11" s="1"/>
  <c r="G100" i="11" s="1"/>
  <c r="E100" i="12"/>
  <c r="F101" i="12" s="1"/>
  <c r="G101" i="12" s="1"/>
  <c r="D90" i="7"/>
  <c r="F98" i="13"/>
  <c r="G98" i="13" s="1"/>
  <c r="E97" i="13"/>
  <c r="D98" i="13"/>
  <c r="E97" i="6"/>
  <c r="F98" i="6" s="1"/>
  <c r="G98" i="6" s="1"/>
  <c r="J96" i="13"/>
  <c r="H96" i="13"/>
  <c r="I96" i="13"/>
  <c r="J97" i="9"/>
  <c r="I97" i="9"/>
  <c r="H97" i="9"/>
  <c r="D98" i="14"/>
  <c r="E97" i="14"/>
  <c r="F98" i="14" s="1"/>
  <c r="G98" i="14" s="1"/>
  <c r="F102" i="8"/>
  <c r="G102" i="8" s="1"/>
  <c r="E101" i="8"/>
  <c r="D102" i="8"/>
  <c r="J100" i="10"/>
  <c r="I100" i="10"/>
  <c r="H100" i="10"/>
  <c r="J101" i="8"/>
  <c r="I101" i="8"/>
  <c r="H101" i="8"/>
  <c r="E97" i="9"/>
  <c r="D98" i="9" s="1"/>
  <c r="J101" i="12" l="1"/>
  <c r="I101" i="12"/>
  <c r="H101" i="12"/>
  <c r="E98" i="9"/>
  <c r="F99" i="9" s="1"/>
  <c r="G99" i="9" s="1"/>
  <c r="D99" i="9"/>
  <c r="J98" i="6"/>
  <c r="I98" i="6"/>
  <c r="H98" i="6"/>
  <c r="J100" i="11"/>
  <c r="H100" i="11"/>
  <c r="I100" i="11"/>
  <c r="J98" i="14"/>
  <c r="I98" i="14"/>
  <c r="H98" i="14"/>
  <c r="D100" i="11"/>
  <c r="I98" i="13"/>
  <c r="H98" i="13"/>
  <c r="J98" i="13"/>
  <c r="D101" i="12"/>
  <c r="F98" i="9"/>
  <c r="G98" i="9" s="1"/>
  <c r="E98" i="13"/>
  <c r="F99" i="13" s="1"/>
  <c r="G99" i="13" s="1"/>
  <c r="D99" i="13"/>
  <c r="E102" i="8"/>
  <c r="D103" i="8" s="1"/>
  <c r="F103" i="8"/>
  <c r="G103" i="8" s="1"/>
  <c r="E98" i="14"/>
  <c r="D99" i="14" s="1"/>
  <c r="F99" i="14"/>
  <c r="G99" i="14" s="1"/>
  <c r="E90" i="7"/>
  <c r="F91" i="7" s="1"/>
  <c r="G91" i="7" s="1"/>
  <c r="J102" i="8"/>
  <c r="I102" i="8"/>
  <c r="H102" i="8"/>
  <c r="E101" i="10"/>
  <c r="F102" i="10"/>
  <c r="G102" i="10" s="1"/>
  <c r="D102" i="10"/>
  <c r="J101" i="10"/>
  <c r="I101" i="10"/>
  <c r="H101" i="10"/>
  <c r="D98" i="6"/>
  <c r="E99" i="14" l="1"/>
  <c r="F100" i="14" s="1"/>
  <c r="G100" i="14" s="1"/>
  <c r="J91" i="7"/>
  <c r="I91" i="7"/>
  <c r="H91" i="7"/>
  <c r="H99" i="13"/>
  <c r="J99" i="13"/>
  <c r="I99" i="13"/>
  <c r="E103" i="8"/>
  <c r="F104" i="8" s="1"/>
  <c r="G104" i="8" s="1"/>
  <c r="H99" i="9"/>
  <c r="I99" i="9"/>
  <c r="J99" i="9"/>
  <c r="F100" i="13"/>
  <c r="G100" i="13" s="1"/>
  <c r="E99" i="13"/>
  <c r="D100" i="13" s="1"/>
  <c r="H99" i="14"/>
  <c r="I99" i="14"/>
  <c r="J99" i="14"/>
  <c r="E100" i="11"/>
  <c r="D101" i="11" s="1"/>
  <c r="E98" i="6"/>
  <c r="F99" i="6" s="1"/>
  <c r="G99" i="6" s="1"/>
  <c r="D99" i="6"/>
  <c r="J103" i="8"/>
  <c r="I103" i="8"/>
  <c r="H103" i="8"/>
  <c r="J98" i="9"/>
  <c r="I98" i="9"/>
  <c r="H98" i="9"/>
  <c r="E102" i="10"/>
  <c r="F103" i="10" s="1"/>
  <c r="G103" i="10" s="1"/>
  <c r="D103" i="10"/>
  <c r="E99" i="9"/>
  <c r="F100" i="9" s="1"/>
  <c r="G100" i="9" s="1"/>
  <c r="E101" i="12"/>
  <c r="F102" i="12"/>
  <c r="G102" i="12" s="1"/>
  <c r="D102" i="12"/>
  <c r="J102" i="10"/>
  <c r="I102" i="10"/>
  <c r="H102" i="10"/>
  <c r="D91" i="7"/>
  <c r="J100" i="9" l="1"/>
  <c r="I100" i="9"/>
  <c r="H100" i="9"/>
  <c r="H103" i="10"/>
  <c r="I103" i="10"/>
  <c r="J103" i="10"/>
  <c r="E101" i="11"/>
  <c r="F102" i="11" s="1"/>
  <c r="G102" i="11" s="1"/>
  <c r="D102" i="11"/>
  <c r="J104" i="8"/>
  <c r="I104" i="8"/>
  <c r="H104" i="8"/>
  <c r="J99" i="6"/>
  <c r="I99" i="6"/>
  <c r="H99" i="6"/>
  <c r="E100" i="13"/>
  <c r="F101" i="13" s="1"/>
  <c r="G101" i="13" s="1"/>
  <c r="D101" i="13"/>
  <c r="J100" i="14"/>
  <c r="I100" i="14"/>
  <c r="H100" i="14"/>
  <c r="D100" i="6"/>
  <c r="E99" i="6"/>
  <c r="F100" i="6" s="1"/>
  <c r="G100" i="6" s="1"/>
  <c r="F101" i="11"/>
  <c r="G101" i="11" s="1"/>
  <c r="E91" i="7"/>
  <c r="F92" i="7" s="1"/>
  <c r="G92" i="7" s="1"/>
  <c r="D92" i="7"/>
  <c r="D104" i="8"/>
  <c r="I102" i="12"/>
  <c r="H102" i="12"/>
  <c r="J102" i="12"/>
  <c r="J100" i="13"/>
  <c r="I100" i="13"/>
  <c r="H100" i="13"/>
  <c r="E102" i="12"/>
  <c r="F103" i="12"/>
  <c r="G103" i="12" s="1"/>
  <c r="D103" i="12"/>
  <c r="D100" i="9"/>
  <c r="E103" i="10"/>
  <c r="F104" i="10" s="1"/>
  <c r="G104" i="10" s="1"/>
  <c r="D100" i="14"/>
  <c r="H100" i="6" l="1"/>
  <c r="J100" i="6"/>
  <c r="I100" i="6"/>
  <c r="I92" i="7"/>
  <c r="J92" i="7"/>
  <c r="H92" i="7"/>
  <c r="J101" i="13"/>
  <c r="I101" i="13"/>
  <c r="H101" i="13"/>
  <c r="J102" i="11"/>
  <c r="I102" i="11"/>
  <c r="H102" i="11"/>
  <c r="J104" i="10"/>
  <c r="I104" i="10"/>
  <c r="H104" i="10"/>
  <c r="E100" i="6"/>
  <c r="F101" i="6" s="1"/>
  <c r="G101" i="6" s="1"/>
  <c r="D101" i="6"/>
  <c r="E92" i="7"/>
  <c r="F93" i="7" s="1"/>
  <c r="G93" i="7" s="1"/>
  <c r="I101" i="11"/>
  <c r="J101" i="11"/>
  <c r="H101" i="11"/>
  <c r="D104" i="10"/>
  <c r="E100" i="14"/>
  <c r="D101" i="14" s="1"/>
  <c r="E103" i="12"/>
  <c r="D104" i="12" s="1"/>
  <c r="E104" i="8"/>
  <c r="F105" i="8" s="1"/>
  <c r="G105" i="8" s="1"/>
  <c r="E101" i="13"/>
  <c r="F102" i="13"/>
  <c r="G102" i="13" s="1"/>
  <c r="D102" i="13"/>
  <c r="E102" i="11"/>
  <c r="F103" i="11"/>
  <c r="G103" i="11" s="1"/>
  <c r="D103" i="11"/>
  <c r="I103" i="12"/>
  <c r="J103" i="12"/>
  <c r="H103" i="12"/>
  <c r="E100" i="9"/>
  <c r="F101" i="9" s="1"/>
  <c r="G101" i="9" s="1"/>
  <c r="E104" i="12" l="1"/>
  <c r="F105" i="12" s="1"/>
  <c r="G105" i="12" s="1"/>
  <c r="D105" i="12"/>
  <c r="I93" i="7"/>
  <c r="H93" i="7"/>
  <c r="J93" i="7"/>
  <c r="J105" i="8"/>
  <c r="I105" i="8"/>
  <c r="H105" i="8"/>
  <c r="E101" i="14"/>
  <c r="F102" i="14" s="1"/>
  <c r="G102" i="14" s="1"/>
  <c r="D102" i="14"/>
  <c r="H101" i="6"/>
  <c r="J101" i="6"/>
  <c r="I101" i="6"/>
  <c r="J101" i="9"/>
  <c r="I101" i="9"/>
  <c r="H101" i="9"/>
  <c r="E104" i="10"/>
  <c r="D105" i="10" s="1"/>
  <c r="F104" i="12"/>
  <c r="G104" i="12" s="1"/>
  <c r="D102" i="6"/>
  <c r="E101" i="6"/>
  <c r="F102" i="6" s="1"/>
  <c r="G102" i="6" s="1"/>
  <c r="D101" i="9"/>
  <c r="I103" i="11"/>
  <c r="H103" i="11"/>
  <c r="J103" i="11"/>
  <c r="F101" i="14"/>
  <c r="G101" i="14" s="1"/>
  <c r="D93" i="7"/>
  <c r="F104" i="11"/>
  <c r="G104" i="11" s="1"/>
  <c r="E103" i="11"/>
  <c r="D104" i="11"/>
  <c r="E102" i="13"/>
  <c r="F103" i="13"/>
  <c r="G103" i="13" s="1"/>
  <c r="D103" i="13"/>
  <c r="I102" i="13"/>
  <c r="H102" i="13"/>
  <c r="J102" i="13"/>
  <c r="D105" i="8"/>
  <c r="J102" i="6" l="1"/>
  <c r="I102" i="6"/>
  <c r="H102" i="6"/>
  <c r="E105" i="10"/>
  <c r="F106" i="10"/>
  <c r="G106" i="10" s="1"/>
  <c r="D106" i="10"/>
  <c r="I102" i="14"/>
  <c r="H102" i="14"/>
  <c r="J102" i="14"/>
  <c r="I105" i="12"/>
  <c r="H105" i="12"/>
  <c r="J105" i="12"/>
  <c r="J104" i="11"/>
  <c r="I104" i="11"/>
  <c r="H104" i="11"/>
  <c r="E93" i="7"/>
  <c r="F94" i="7" s="1"/>
  <c r="G94" i="7" s="1"/>
  <c r="D94" i="7"/>
  <c r="F105" i="10"/>
  <c r="G105" i="10" s="1"/>
  <c r="E101" i="9"/>
  <c r="F102" i="9" s="1"/>
  <c r="G102" i="9" s="1"/>
  <c r="E102" i="14"/>
  <c r="D103" i="14" s="1"/>
  <c r="F103" i="14"/>
  <c r="G103" i="14" s="1"/>
  <c r="E105" i="8"/>
  <c r="F106" i="8" s="1"/>
  <c r="G106" i="8" s="1"/>
  <c r="J101" i="14"/>
  <c r="I101" i="14"/>
  <c r="H101" i="14"/>
  <c r="J104" i="12"/>
  <c r="I104" i="12"/>
  <c r="H104" i="12"/>
  <c r="E103" i="13"/>
  <c r="F104" i="13" s="1"/>
  <c r="G104" i="13" s="1"/>
  <c r="D104" i="13"/>
  <c r="E102" i="6"/>
  <c r="F103" i="6" s="1"/>
  <c r="G103" i="6" s="1"/>
  <c r="I103" i="13"/>
  <c r="H103" i="13"/>
  <c r="J103" i="13"/>
  <c r="E105" i="12"/>
  <c r="D106" i="12" s="1"/>
  <c r="E104" i="11"/>
  <c r="F105" i="11" s="1"/>
  <c r="G105" i="11" s="1"/>
  <c r="D105" i="11"/>
  <c r="J104" i="13" l="1"/>
  <c r="I104" i="13"/>
  <c r="H104" i="13"/>
  <c r="E103" i="14"/>
  <c r="F104" i="14" s="1"/>
  <c r="G104" i="14" s="1"/>
  <c r="J103" i="6"/>
  <c r="I103" i="6"/>
  <c r="H103" i="6"/>
  <c r="J106" i="8"/>
  <c r="I106" i="8"/>
  <c r="H106" i="8"/>
  <c r="I102" i="9"/>
  <c r="H102" i="9"/>
  <c r="J102" i="9"/>
  <c r="J94" i="7"/>
  <c r="I94" i="7"/>
  <c r="H94" i="7"/>
  <c r="J105" i="11"/>
  <c r="H105" i="11"/>
  <c r="I105" i="11"/>
  <c r="E106" i="12"/>
  <c r="F107" i="12"/>
  <c r="G107" i="12" s="1"/>
  <c r="D107" i="12"/>
  <c r="D102" i="9"/>
  <c r="J105" i="10"/>
  <c r="I105" i="10"/>
  <c r="H105" i="10"/>
  <c r="I103" i="14"/>
  <c r="H103" i="14"/>
  <c r="J103" i="14"/>
  <c r="E94" i="7"/>
  <c r="F95" i="7" s="1"/>
  <c r="G95" i="7" s="1"/>
  <c r="F106" i="12"/>
  <c r="G106" i="12" s="1"/>
  <c r="D103" i="6"/>
  <c r="E106" i="10"/>
  <c r="D107" i="10" s="1"/>
  <c r="F107" i="10"/>
  <c r="G107" i="10" s="1"/>
  <c r="D106" i="8"/>
  <c r="E105" i="11"/>
  <c r="F106" i="11" s="1"/>
  <c r="G106" i="11" s="1"/>
  <c r="D106" i="11"/>
  <c r="E104" i="13"/>
  <c r="F105" i="13" s="1"/>
  <c r="G105" i="13" s="1"/>
  <c r="J106" i="10"/>
  <c r="I106" i="10"/>
  <c r="H106" i="10"/>
  <c r="J95" i="7" l="1"/>
  <c r="H95" i="7"/>
  <c r="I95" i="7"/>
  <c r="J105" i="13"/>
  <c r="I105" i="13"/>
  <c r="H105" i="13"/>
  <c r="J106" i="11"/>
  <c r="I106" i="11"/>
  <c r="H106" i="11"/>
  <c r="J104" i="14"/>
  <c r="I104" i="14"/>
  <c r="H104" i="14"/>
  <c r="E107" i="10"/>
  <c r="F108" i="10" s="1"/>
  <c r="G108" i="10" s="1"/>
  <c r="D108" i="10"/>
  <c r="J107" i="12"/>
  <c r="I107" i="12"/>
  <c r="H107" i="12"/>
  <c r="F108" i="12"/>
  <c r="G108" i="12" s="1"/>
  <c r="E107" i="12"/>
  <c r="D108" i="12"/>
  <c r="D105" i="13"/>
  <c r="D103" i="9"/>
  <c r="E102" i="9"/>
  <c r="F103" i="9" s="1"/>
  <c r="G103" i="9" s="1"/>
  <c r="I107" i="10"/>
  <c r="H107" i="10"/>
  <c r="J107" i="10"/>
  <c r="D104" i="14"/>
  <c r="E106" i="11"/>
  <c r="F107" i="11" s="1"/>
  <c r="G107" i="11" s="1"/>
  <c r="D107" i="11"/>
  <c r="E106" i="8"/>
  <c r="F107" i="8" s="1"/>
  <c r="G107" i="8" s="1"/>
  <c r="D107" i="8"/>
  <c r="E103" i="6"/>
  <c r="F104" i="6" s="1"/>
  <c r="G104" i="6" s="1"/>
  <c r="I106" i="12"/>
  <c r="H106" i="12"/>
  <c r="J106" i="12"/>
  <c r="D95" i="7"/>
  <c r="I104" i="6" l="1"/>
  <c r="J104" i="6"/>
  <c r="H104" i="6"/>
  <c r="J107" i="11"/>
  <c r="H107" i="11"/>
  <c r="I107" i="11"/>
  <c r="J107" i="8"/>
  <c r="I107" i="8"/>
  <c r="H107" i="8"/>
  <c r="J103" i="9"/>
  <c r="I103" i="9"/>
  <c r="H103" i="9"/>
  <c r="J108" i="10"/>
  <c r="I108" i="10"/>
  <c r="H108" i="10"/>
  <c r="E104" i="14"/>
  <c r="D105" i="14" s="1"/>
  <c r="E108" i="12"/>
  <c r="F109" i="12"/>
  <c r="G109" i="12" s="1"/>
  <c r="D109" i="12"/>
  <c r="E105" i="13"/>
  <c r="F106" i="13"/>
  <c r="G106" i="13" s="1"/>
  <c r="D106" i="13"/>
  <c r="E103" i="9"/>
  <c r="D104" i="9" s="1"/>
  <c r="E108" i="10"/>
  <c r="D109" i="10" s="1"/>
  <c r="D104" i="6"/>
  <c r="J108" i="12"/>
  <c r="I108" i="12"/>
  <c r="H108" i="12"/>
  <c r="E95" i="7"/>
  <c r="F96" i="7" s="1"/>
  <c r="G96" i="7" s="1"/>
  <c r="E107" i="8"/>
  <c r="F108" i="8" s="1"/>
  <c r="G108" i="8" s="1"/>
  <c r="E107" i="11"/>
  <c r="F108" i="11" s="1"/>
  <c r="G108" i="11" s="1"/>
  <c r="D108" i="11"/>
  <c r="J108" i="8" l="1"/>
  <c r="I108" i="8"/>
  <c r="H108" i="8"/>
  <c r="J108" i="11"/>
  <c r="I108" i="11"/>
  <c r="H108" i="11"/>
  <c r="I96" i="7"/>
  <c r="H96" i="7"/>
  <c r="J96" i="7"/>
  <c r="E109" i="10"/>
  <c r="D110" i="10" s="1"/>
  <c r="F110" i="10"/>
  <c r="G110" i="10" s="1"/>
  <c r="E104" i="9"/>
  <c r="F105" i="9" s="1"/>
  <c r="G105" i="9" s="1"/>
  <c r="E105" i="14"/>
  <c r="F106" i="14" s="1"/>
  <c r="G106" i="14" s="1"/>
  <c r="D106" i="14"/>
  <c r="E104" i="6"/>
  <c r="D105" i="6" s="1"/>
  <c r="F105" i="6"/>
  <c r="G105" i="6" s="1"/>
  <c r="I106" i="13"/>
  <c r="H106" i="13"/>
  <c r="J106" i="13"/>
  <c r="F109" i="10"/>
  <c r="G109" i="10" s="1"/>
  <c r="E106" i="13"/>
  <c r="F107" i="13"/>
  <c r="G107" i="13" s="1"/>
  <c r="D107" i="13"/>
  <c r="F105" i="14"/>
  <c r="G105" i="14" s="1"/>
  <c r="F104" i="9"/>
  <c r="G104" i="9" s="1"/>
  <c r="E109" i="12"/>
  <c r="D110" i="12" s="1"/>
  <c r="F109" i="11"/>
  <c r="G109" i="11" s="1"/>
  <c r="E108" i="11"/>
  <c r="D109" i="11"/>
  <c r="D108" i="8"/>
  <c r="J109" i="12"/>
  <c r="I109" i="12"/>
  <c r="H109" i="12"/>
  <c r="D96" i="7"/>
  <c r="E110" i="12" l="1"/>
  <c r="F111" i="12" s="1"/>
  <c r="G111" i="12" s="1"/>
  <c r="D111" i="12"/>
  <c r="E105" i="6"/>
  <c r="F106" i="6" s="1"/>
  <c r="G106" i="6" s="1"/>
  <c r="D106" i="6"/>
  <c r="I106" i="14"/>
  <c r="H106" i="14"/>
  <c r="J106" i="14"/>
  <c r="J105" i="9"/>
  <c r="I105" i="9"/>
  <c r="H105" i="9"/>
  <c r="E110" i="10"/>
  <c r="F111" i="10" s="1"/>
  <c r="G111" i="10" s="1"/>
  <c r="D111" i="10"/>
  <c r="J104" i="9"/>
  <c r="I104" i="9"/>
  <c r="H104" i="9"/>
  <c r="J109" i="10"/>
  <c r="I109" i="10"/>
  <c r="H109" i="10"/>
  <c r="F110" i="12"/>
  <c r="G110" i="12" s="1"/>
  <c r="E106" i="14"/>
  <c r="F107" i="14"/>
  <c r="G107" i="14" s="1"/>
  <c r="D107" i="14"/>
  <c r="J105" i="14"/>
  <c r="I105" i="14"/>
  <c r="H105" i="14"/>
  <c r="I110" i="10"/>
  <c r="H110" i="10"/>
  <c r="J110" i="10"/>
  <c r="J107" i="13"/>
  <c r="I107" i="13"/>
  <c r="H107" i="13"/>
  <c r="E96" i="7"/>
  <c r="F97" i="7"/>
  <c r="G97" i="7" s="1"/>
  <c r="D97" i="7"/>
  <c r="I109" i="11"/>
  <c r="H109" i="11"/>
  <c r="J109" i="11"/>
  <c r="E107" i="13"/>
  <c r="F108" i="13" s="1"/>
  <c r="G108" i="13" s="1"/>
  <c r="I105" i="6"/>
  <c r="H105" i="6"/>
  <c r="J105" i="6"/>
  <c r="D105" i="9"/>
  <c r="F109" i="8"/>
  <c r="G109" i="8" s="1"/>
  <c r="E108" i="8"/>
  <c r="D109" i="8" s="1"/>
  <c r="E109" i="11"/>
  <c r="F110" i="11" s="1"/>
  <c r="G110" i="11" s="1"/>
  <c r="E109" i="8" l="1"/>
  <c r="F110" i="8"/>
  <c r="G110" i="8" s="1"/>
  <c r="D110" i="8"/>
  <c r="I110" i="11"/>
  <c r="J110" i="11"/>
  <c r="H110" i="11"/>
  <c r="J111" i="10"/>
  <c r="I111" i="10"/>
  <c r="H111" i="10"/>
  <c r="J108" i="13"/>
  <c r="I108" i="13"/>
  <c r="H108" i="13"/>
  <c r="H106" i="6"/>
  <c r="J106" i="6"/>
  <c r="I106" i="6"/>
  <c r="J111" i="12"/>
  <c r="I111" i="12"/>
  <c r="H111" i="12"/>
  <c r="D110" i="11"/>
  <c r="I109" i="8"/>
  <c r="H109" i="8"/>
  <c r="J109" i="8"/>
  <c r="E105" i="9"/>
  <c r="F106" i="9"/>
  <c r="G106" i="9" s="1"/>
  <c r="D106" i="9"/>
  <c r="J107" i="14"/>
  <c r="I107" i="14"/>
  <c r="H107" i="14"/>
  <c r="E111" i="10"/>
  <c r="D112" i="10" s="1"/>
  <c r="F108" i="14"/>
  <c r="G108" i="14" s="1"/>
  <c r="E107" i="14"/>
  <c r="D108" i="14" s="1"/>
  <c r="D108" i="13"/>
  <c r="E97" i="7"/>
  <c r="F98" i="7" s="1"/>
  <c r="G98" i="7" s="1"/>
  <c r="D98" i="7"/>
  <c r="J97" i="7"/>
  <c r="I97" i="7"/>
  <c r="H97" i="7"/>
  <c r="J110" i="12"/>
  <c r="I110" i="12"/>
  <c r="H110" i="12"/>
  <c r="E106" i="6"/>
  <c r="D107" i="6" s="1"/>
  <c r="F112" i="12"/>
  <c r="G112" i="12" s="1"/>
  <c r="E111" i="12"/>
  <c r="D112" i="12" s="1"/>
  <c r="E108" i="14" l="1"/>
  <c r="F109" i="14" s="1"/>
  <c r="G109" i="14" s="1"/>
  <c r="E112" i="10"/>
  <c r="F113" i="10" s="1"/>
  <c r="G113" i="10" s="1"/>
  <c r="E112" i="12"/>
  <c r="F113" i="12"/>
  <c r="G113" i="12" s="1"/>
  <c r="D113" i="12"/>
  <c r="E107" i="6"/>
  <c r="F108" i="6" s="1"/>
  <c r="G108" i="6" s="1"/>
  <c r="D108" i="6"/>
  <c r="J98" i="7"/>
  <c r="I98" i="7"/>
  <c r="H98" i="7"/>
  <c r="J108" i="14"/>
  <c r="I108" i="14"/>
  <c r="H108" i="14"/>
  <c r="I106" i="9"/>
  <c r="H106" i="9"/>
  <c r="J106" i="9"/>
  <c r="J112" i="12"/>
  <c r="I112" i="12"/>
  <c r="H112" i="12"/>
  <c r="F107" i="9"/>
  <c r="G107" i="9" s="1"/>
  <c r="E106" i="9"/>
  <c r="D107" i="9" s="1"/>
  <c r="F112" i="10"/>
  <c r="G112" i="10" s="1"/>
  <c r="F107" i="6"/>
  <c r="G107" i="6" s="1"/>
  <c r="E98" i="7"/>
  <c r="F99" i="7" s="1"/>
  <c r="G99" i="7" s="1"/>
  <c r="E110" i="11"/>
  <c r="F111" i="11"/>
  <c r="G111" i="11" s="1"/>
  <c r="D111" i="11"/>
  <c r="E108" i="13"/>
  <c r="F109" i="13" s="1"/>
  <c r="G109" i="13" s="1"/>
  <c r="D109" i="13"/>
  <c r="E110" i="8"/>
  <c r="D111" i="8" s="1"/>
  <c r="J110" i="8"/>
  <c r="I110" i="8"/>
  <c r="H110" i="8"/>
  <c r="E111" i="8" l="1"/>
  <c r="D112" i="8" s="1"/>
  <c r="J99" i="7"/>
  <c r="H99" i="7"/>
  <c r="I99" i="7"/>
  <c r="J109" i="13"/>
  <c r="I109" i="13"/>
  <c r="H109" i="13"/>
  <c r="E107" i="9"/>
  <c r="F108" i="9"/>
  <c r="G108" i="9" s="1"/>
  <c r="D108" i="9"/>
  <c r="J108" i="6"/>
  <c r="H108" i="6"/>
  <c r="I108" i="6"/>
  <c r="J113" i="10"/>
  <c r="I113" i="10"/>
  <c r="H113" i="10"/>
  <c r="D116" i="10" s="1"/>
  <c r="E10" i="15" s="1"/>
  <c r="F9" i="16" s="1"/>
  <c r="J109" i="14"/>
  <c r="I109" i="14"/>
  <c r="H109" i="14"/>
  <c r="D99" i="7"/>
  <c r="H112" i="10"/>
  <c r="J112" i="10"/>
  <c r="I112" i="10"/>
  <c r="H107" i="9"/>
  <c r="J107" i="9"/>
  <c r="I107" i="9"/>
  <c r="J107" i="6"/>
  <c r="I107" i="6"/>
  <c r="H107" i="6"/>
  <c r="D120" i="12"/>
  <c r="D12" i="17" s="1"/>
  <c r="E12" i="17" s="1"/>
  <c r="E113" i="12"/>
  <c r="F111" i="8"/>
  <c r="G111" i="8" s="1"/>
  <c r="E108" i="6"/>
  <c r="F109" i="6" s="1"/>
  <c r="G109" i="6" s="1"/>
  <c r="J113" i="12"/>
  <c r="D118" i="12" s="1"/>
  <c r="I113" i="12"/>
  <c r="D117" i="12" s="1"/>
  <c r="F12" i="15" s="1"/>
  <c r="H113" i="12"/>
  <c r="D116" i="12" s="1"/>
  <c r="E12" i="15" s="1"/>
  <c r="F11" i="16" s="1"/>
  <c r="E109" i="13"/>
  <c r="F110" i="13"/>
  <c r="G110" i="13" s="1"/>
  <c r="D110" i="13"/>
  <c r="D113" i="10"/>
  <c r="E111" i="11"/>
  <c r="F112" i="11" s="1"/>
  <c r="G112" i="11" s="1"/>
  <c r="J111" i="11"/>
  <c r="I111" i="11"/>
  <c r="H111" i="11"/>
  <c r="D109" i="14"/>
  <c r="I112" i="11" l="1"/>
  <c r="J112" i="11"/>
  <c r="H112" i="11"/>
  <c r="H109" i="6"/>
  <c r="J109" i="6"/>
  <c r="I109" i="6"/>
  <c r="E112" i="8"/>
  <c r="F113" i="8" s="1"/>
  <c r="G113" i="8" s="1"/>
  <c r="D112" i="11"/>
  <c r="J108" i="9"/>
  <c r="I108" i="9"/>
  <c r="H108" i="9"/>
  <c r="D117" i="10"/>
  <c r="F10" i="15" s="1"/>
  <c r="E110" i="13"/>
  <c r="D111" i="13" s="1"/>
  <c r="E113" i="10"/>
  <c r="D120" i="10" s="1"/>
  <c r="D10" i="17" s="1"/>
  <c r="E10" i="17" s="1"/>
  <c r="G12" i="15"/>
  <c r="G11" i="16" s="1"/>
  <c r="D119" i="12"/>
  <c r="E99" i="7"/>
  <c r="D100" i="7" s="1"/>
  <c r="E109" i="14"/>
  <c r="F110" i="14"/>
  <c r="G110" i="14" s="1"/>
  <c r="D110" i="14"/>
  <c r="D118" i="10"/>
  <c r="E108" i="9"/>
  <c r="F109" i="9" s="1"/>
  <c r="G109" i="9" s="1"/>
  <c r="J110" i="13"/>
  <c r="I110" i="13"/>
  <c r="H110" i="13"/>
  <c r="D109" i="6"/>
  <c r="J111" i="8"/>
  <c r="I111" i="8"/>
  <c r="H111" i="8"/>
  <c r="F112" i="8"/>
  <c r="G112" i="8" s="1"/>
  <c r="E100" i="7" l="1"/>
  <c r="F101" i="7" s="1"/>
  <c r="G101" i="7" s="1"/>
  <c r="D101" i="7"/>
  <c r="J109" i="9"/>
  <c r="I109" i="9"/>
  <c r="H109" i="9"/>
  <c r="E111" i="13"/>
  <c r="D112" i="13" s="1"/>
  <c r="J113" i="8"/>
  <c r="I113" i="8"/>
  <c r="H113" i="8"/>
  <c r="G10" i="15"/>
  <c r="G9" i="16" s="1"/>
  <c r="D119" i="10"/>
  <c r="E110" i="14"/>
  <c r="F111" i="14" s="1"/>
  <c r="G111" i="14" s="1"/>
  <c r="F100" i="7"/>
  <c r="G100" i="7" s="1"/>
  <c r="D109" i="9"/>
  <c r="J110" i="14"/>
  <c r="I110" i="14"/>
  <c r="H110" i="14"/>
  <c r="F111" i="13"/>
  <c r="G111" i="13" s="1"/>
  <c r="E112" i="11"/>
  <c r="D113" i="11" s="1"/>
  <c r="F113" i="11"/>
  <c r="G113" i="11" s="1"/>
  <c r="J112" i="8"/>
  <c r="I112" i="8"/>
  <c r="H112" i="8"/>
  <c r="F12" i="17"/>
  <c r="H12" i="15"/>
  <c r="D113" i="8"/>
  <c r="E109" i="6"/>
  <c r="F110" i="6" s="1"/>
  <c r="G110" i="6" s="1"/>
  <c r="D110" i="6"/>
  <c r="J110" i="6" l="1"/>
  <c r="I110" i="6"/>
  <c r="H110" i="6"/>
  <c r="E113" i="11"/>
  <c r="D120" i="11" s="1"/>
  <c r="D13" i="17" s="1"/>
  <c r="E13" i="17" s="1"/>
  <c r="J111" i="14"/>
  <c r="I111" i="14"/>
  <c r="H111" i="14"/>
  <c r="E112" i="13"/>
  <c r="F113" i="13" s="1"/>
  <c r="G113" i="13" s="1"/>
  <c r="D113" i="13"/>
  <c r="H101" i="7"/>
  <c r="I101" i="7"/>
  <c r="J101" i="7"/>
  <c r="E113" i="8"/>
  <c r="D120" i="8"/>
  <c r="D6" i="17" s="1"/>
  <c r="E6" i="17" s="1"/>
  <c r="J111" i="13"/>
  <c r="I111" i="13"/>
  <c r="H111" i="13"/>
  <c r="F10" i="17"/>
  <c r="H10" i="15"/>
  <c r="D117" i="8"/>
  <c r="F6" i="15" s="1"/>
  <c r="E109" i="9"/>
  <c r="D110" i="9" s="1"/>
  <c r="D111" i="14"/>
  <c r="D116" i="8"/>
  <c r="E6" i="15" s="1"/>
  <c r="F7" i="16" s="1"/>
  <c r="F112" i="13"/>
  <c r="G112" i="13" s="1"/>
  <c r="J113" i="11"/>
  <c r="D118" i="11" s="1"/>
  <c r="H113" i="11"/>
  <c r="D116" i="11" s="1"/>
  <c r="E13" i="15" s="1"/>
  <c r="F10" i="16" s="1"/>
  <c r="I113" i="11"/>
  <c r="D117" i="11" s="1"/>
  <c r="F13" i="15" s="1"/>
  <c r="J100" i="7"/>
  <c r="H100" i="7"/>
  <c r="I100" i="7"/>
  <c r="D118" i="8"/>
  <c r="E110" i="6"/>
  <c r="F111" i="6" s="1"/>
  <c r="G111" i="6" s="1"/>
  <c r="D111" i="6"/>
  <c r="E101" i="7"/>
  <c r="F102" i="7" s="1"/>
  <c r="G102" i="7" s="1"/>
  <c r="D102" i="7"/>
  <c r="I111" i="6" l="1"/>
  <c r="H111" i="6"/>
  <c r="J111" i="6"/>
  <c r="E110" i="9"/>
  <c r="F111" i="9"/>
  <c r="G111" i="9" s="1"/>
  <c r="D111" i="9"/>
  <c r="J113" i="13"/>
  <c r="I113" i="13"/>
  <c r="H113" i="13"/>
  <c r="J102" i="7"/>
  <c r="I102" i="7"/>
  <c r="H102" i="7"/>
  <c r="G13" i="15"/>
  <c r="G10" i="16" s="1"/>
  <c r="D119" i="11"/>
  <c r="J112" i="13"/>
  <c r="I112" i="13"/>
  <c r="H112" i="13"/>
  <c r="E111" i="14"/>
  <c r="F112" i="14" s="1"/>
  <c r="G112" i="14" s="1"/>
  <c r="D112" i="14"/>
  <c r="F110" i="9"/>
  <c r="G110" i="9" s="1"/>
  <c r="E102" i="7"/>
  <c r="D103" i="7" s="1"/>
  <c r="E113" i="13"/>
  <c r="D120" i="13" s="1"/>
  <c r="D9" i="17" s="1"/>
  <c r="E9" i="17" s="1"/>
  <c r="E111" i="6"/>
  <c r="F112" i="6" s="1"/>
  <c r="G112" i="6" s="1"/>
  <c r="G6" i="15"/>
  <c r="G7" i="16" s="1"/>
  <c r="D119" i="8"/>
  <c r="J112" i="6" l="1"/>
  <c r="I112" i="6"/>
  <c r="H112" i="6"/>
  <c r="E103" i="7"/>
  <c r="F104" i="7"/>
  <c r="G104" i="7" s="1"/>
  <c r="D104" i="7"/>
  <c r="J112" i="14"/>
  <c r="I112" i="14"/>
  <c r="H112" i="14"/>
  <c r="H6" i="15"/>
  <c r="F6" i="17"/>
  <c r="D112" i="6"/>
  <c r="I110" i="9"/>
  <c r="H110" i="9"/>
  <c r="J110" i="9"/>
  <c r="F103" i="7"/>
  <c r="G103" i="7" s="1"/>
  <c r="F13" i="17"/>
  <c r="H13" i="15"/>
  <c r="E112" i="14"/>
  <c r="F113" i="14" s="1"/>
  <c r="G113" i="14" s="1"/>
  <c r="D118" i="13"/>
  <c r="D116" i="13"/>
  <c r="E9" i="15" s="1"/>
  <c r="D117" i="13"/>
  <c r="F9" i="15" s="1"/>
  <c r="E111" i="9"/>
  <c r="F112" i="9" s="1"/>
  <c r="G112" i="9" s="1"/>
  <c r="D112" i="9"/>
  <c r="J111" i="9"/>
  <c r="I111" i="9"/>
  <c r="H111" i="9"/>
  <c r="H112" i="9" l="1"/>
  <c r="J112" i="9"/>
  <c r="I112" i="9"/>
  <c r="J113" i="14"/>
  <c r="D118" i="14" s="1"/>
  <c r="I113" i="14"/>
  <c r="D117" i="14" s="1"/>
  <c r="F7" i="15" s="1"/>
  <c r="H113" i="14"/>
  <c r="D116" i="14" s="1"/>
  <c r="E7" i="15" s="1"/>
  <c r="E112" i="9"/>
  <c r="F113" i="9" s="1"/>
  <c r="G113" i="9" s="1"/>
  <c r="D119" i="13"/>
  <c r="G9" i="15"/>
  <c r="D113" i="14"/>
  <c r="H103" i="7"/>
  <c r="J103" i="7"/>
  <c r="I103" i="7"/>
  <c r="E112" i="6"/>
  <c r="F113" i="6" s="1"/>
  <c r="G113" i="6" s="1"/>
  <c r="E104" i="7"/>
  <c r="F105" i="7" s="1"/>
  <c r="G105" i="7" s="1"/>
  <c r="J104" i="7"/>
  <c r="H104" i="7"/>
  <c r="I104" i="7"/>
  <c r="I105" i="7" l="1"/>
  <c r="J105" i="7"/>
  <c r="H105" i="7"/>
  <c r="J113" i="6"/>
  <c r="D118" i="6" s="1"/>
  <c r="I113" i="6"/>
  <c r="D117" i="6" s="1"/>
  <c r="F5" i="15" s="1"/>
  <c r="H113" i="6"/>
  <c r="D116" i="6" s="1"/>
  <c r="E5" i="15" s="1"/>
  <c r="F5" i="16" s="1"/>
  <c r="J113" i="9"/>
  <c r="D118" i="9" s="1"/>
  <c r="I113" i="9"/>
  <c r="D117" i="9" s="1"/>
  <c r="F11" i="15" s="1"/>
  <c r="H113" i="9"/>
  <c r="D116" i="9" s="1"/>
  <c r="E11" i="15" s="1"/>
  <c r="F8" i="16" s="1"/>
  <c r="D105" i="7"/>
  <c r="D113" i="6"/>
  <c r="D113" i="9"/>
  <c r="E113" i="14"/>
  <c r="D120" i="14" s="1"/>
  <c r="D7" i="17" s="1"/>
  <c r="E7" i="17" s="1"/>
  <c r="F9" i="17"/>
  <c r="H9" i="15"/>
  <c r="G7" i="15"/>
  <c r="D119" i="14"/>
  <c r="H7" i="15" l="1"/>
  <c r="F7" i="17"/>
  <c r="E113" i="9"/>
  <c r="D120" i="9"/>
  <c r="D11" i="17" s="1"/>
  <c r="E11" i="17" s="1"/>
  <c r="E105" i="7"/>
  <c r="F106" i="7" s="1"/>
  <c r="G106" i="7" s="1"/>
  <c r="D106" i="7"/>
  <c r="G11" i="15"/>
  <c r="G8" i="16" s="1"/>
  <c r="D119" i="9"/>
  <c r="E113" i="6"/>
  <c r="D120" i="6" s="1"/>
  <c r="D5" i="17" s="1"/>
  <c r="E5" i="17" s="1"/>
  <c r="G5" i="15"/>
  <c r="G5" i="16" s="1"/>
  <c r="D119" i="6"/>
  <c r="J106" i="7" l="1"/>
  <c r="I106" i="7"/>
  <c r="H106" i="7"/>
  <c r="F5" i="17"/>
  <c r="H5" i="15"/>
  <c r="E106" i="7"/>
  <c r="F107" i="7" s="1"/>
  <c r="G107" i="7" s="1"/>
  <c r="F11" i="17"/>
  <c r="H11" i="15"/>
  <c r="J107" i="7" l="1"/>
  <c r="I107" i="7"/>
  <c r="H107" i="7"/>
  <c r="D107" i="7"/>
  <c r="E107" i="7" l="1"/>
  <c r="F108" i="7" s="1"/>
  <c r="G108" i="7" s="1"/>
  <c r="D108" i="7"/>
  <c r="H108" i="7" l="1"/>
  <c r="I108" i="7"/>
  <c r="J108" i="7"/>
  <c r="E108" i="7"/>
  <c r="F109" i="7" s="1"/>
  <c r="G109" i="7" s="1"/>
  <c r="J109" i="7" l="1"/>
  <c r="I109" i="7"/>
  <c r="H109" i="7"/>
  <c r="D109" i="7"/>
  <c r="E109" i="7" l="1"/>
  <c r="F110" i="7" s="1"/>
  <c r="G110" i="7" s="1"/>
  <c r="I110" i="7" l="1"/>
  <c r="J110" i="7"/>
  <c r="H110" i="7"/>
  <c r="D110" i="7"/>
  <c r="E110" i="7" l="1"/>
  <c r="F111" i="7" s="1"/>
  <c r="G111" i="7" s="1"/>
  <c r="J111" i="7" l="1"/>
  <c r="I111" i="7"/>
  <c r="H111" i="7"/>
  <c r="D111" i="7"/>
  <c r="E111" i="7" l="1"/>
  <c r="F112" i="7" s="1"/>
  <c r="G112" i="7" s="1"/>
  <c r="D112" i="7"/>
  <c r="J112" i="7" l="1"/>
  <c r="I112" i="7"/>
  <c r="H112" i="7"/>
  <c r="E112" i="7"/>
  <c r="F113" i="7"/>
  <c r="G113" i="7" s="1"/>
  <c r="D113" i="7"/>
  <c r="E113" i="7" l="1"/>
  <c r="D120" i="7"/>
  <c r="D8" i="17" s="1"/>
  <c r="E8" i="17" s="1"/>
  <c r="J113" i="7"/>
  <c r="D118" i="7" s="1"/>
  <c r="I113" i="7"/>
  <c r="D117" i="7" s="1"/>
  <c r="F8" i="15" s="1"/>
  <c r="H113" i="7"/>
  <c r="D116" i="7" s="1"/>
  <c r="E8" i="15" s="1"/>
  <c r="F6" i="16" s="1"/>
  <c r="G8" i="15" l="1"/>
  <c r="G6" i="16" s="1"/>
  <c r="D119" i="7"/>
  <c r="F8" i="17" l="1"/>
  <c r="H8" i="15"/>
</calcChain>
</file>

<file path=xl/sharedStrings.xml><?xml version="1.0" encoding="utf-8"?>
<sst xmlns="http://schemas.openxmlformats.org/spreadsheetml/2006/main" count="1242" uniqueCount="219">
  <si>
    <t>No.</t>
  </si>
  <si>
    <t>Keterangan</t>
  </si>
  <si>
    <t>DATA MENTAH — PENGGUNAAN OBAT MINGGUAN (SUMBER ASLI)</t>
  </si>
  <si>
    <t>Sumber: Data_Obat_Keluar_2023_2024_Gabungan.xlsx, sheet "Data Gabungan" (diunggah pengguna, tidak diubah nilainya). Baris 26/12/2022 adalah nilai awal (L0) untuk perhitungan DES; T0 = 0 untuk seluruh obat.</t>
  </si>
  <si>
    <t>Minggu</t>
  </si>
  <si>
    <t>Afolat</t>
  </si>
  <si>
    <t>Asam Mefenamat</t>
  </si>
  <si>
    <t>Amoxicillin</t>
  </si>
  <si>
    <t>Naturoksi</t>
  </si>
  <si>
    <t>Gentamicin Injeksi</t>
  </si>
  <si>
    <t>Tramadol Injeksi</t>
  </si>
  <si>
    <t>Nazovel Suppositoria</t>
  </si>
  <si>
    <t>Ceftriaxone</t>
  </si>
  <si>
    <t>Ringer Lactat</t>
  </si>
  <si>
    <t>Aquabidest</t>
  </si>
  <si>
    <t>Tranexamat Acid Injeksi</t>
  </si>
  <si>
    <t>Ondansetron Injeksi</t>
  </si>
  <si>
    <t>Sanmol Syrup</t>
  </si>
  <si>
    <t>Natavit</t>
  </si>
  <si>
    <t>Epexol Syrup</t>
  </si>
  <si>
    <t>Apialys Syrup</t>
  </si>
  <si>
    <t>26/12/2022</t>
  </si>
  <si>
    <t>02/01/2023</t>
  </si>
  <si>
    <t>09/01/2023</t>
  </si>
  <si>
    <t>16/01/2023</t>
  </si>
  <si>
    <t>23/01/2023</t>
  </si>
  <si>
    <t>30/01/2023</t>
  </si>
  <si>
    <t>06/02/2023</t>
  </si>
  <si>
    <t>13/02/2023</t>
  </si>
  <si>
    <t>20/02/2023</t>
  </si>
  <si>
    <t>27/02/2023</t>
  </si>
  <si>
    <t>06/03/2023</t>
  </si>
  <si>
    <t>13/03/2023</t>
  </si>
  <si>
    <t>20/03/2023</t>
  </si>
  <si>
    <t>27/03/2023</t>
  </si>
  <si>
    <t>03/04/2023</t>
  </si>
  <si>
    <t>10/04/2023</t>
  </si>
  <si>
    <t>17/04/2023</t>
  </si>
  <si>
    <t>24/04/2023</t>
  </si>
  <si>
    <t>01/05/2023</t>
  </si>
  <si>
    <t>08/05/2023</t>
  </si>
  <si>
    <t>15/05/2023</t>
  </si>
  <si>
    <t>22/05/2023</t>
  </si>
  <si>
    <t>29/05/2023</t>
  </si>
  <si>
    <t>05/06/2023</t>
  </si>
  <si>
    <t>12/06/2023</t>
  </si>
  <si>
    <t>19/06/2023</t>
  </si>
  <si>
    <t>26/06/2023</t>
  </si>
  <si>
    <t>03/07/2023</t>
  </si>
  <si>
    <t>10/07/2023</t>
  </si>
  <si>
    <t>17/07/2023</t>
  </si>
  <si>
    <t>24/07/2023</t>
  </si>
  <si>
    <t>31/07/2023</t>
  </si>
  <si>
    <t>07/08/2023</t>
  </si>
  <si>
    <t>14/08/2023</t>
  </si>
  <si>
    <t>21/08/2023</t>
  </si>
  <si>
    <t>28/08/2023</t>
  </si>
  <si>
    <t>04/09/2023</t>
  </si>
  <si>
    <t>11/09/2023</t>
  </si>
  <si>
    <t>18/09/2023</t>
  </si>
  <si>
    <t>25/09/2023</t>
  </si>
  <si>
    <t>02/10/2023</t>
  </si>
  <si>
    <t>09/10/2023</t>
  </si>
  <si>
    <t>16/10/2023</t>
  </si>
  <si>
    <t>23/10/2023</t>
  </si>
  <si>
    <t>30/10/2023</t>
  </si>
  <si>
    <t>06/11/2023</t>
  </si>
  <si>
    <t>13/11/2023</t>
  </si>
  <si>
    <t>20/11/2023</t>
  </si>
  <si>
    <t>27/11/2023</t>
  </si>
  <si>
    <t>04/12/2023</t>
  </si>
  <si>
    <t>11/12/2023</t>
  </si>
  <si>
    <t>18/12/2023</t>
  </si>
  <si>
    <t>25/12/2023</t>
  </si>
  <si>
    <t>01/01/2024</t>
  </si>
  <si>
    <t>08/01/2024</t>
  </si>
  <si>
    <t>15/01/2024</t>
  </si>
  <si>
    <t>22/01/2024</t>
  </si>
  <si>
    <t>29/01/2024</t>
  </si>
  <si>
    <t>05/02/2024</t>
  </si>
  <si>
    <t>12/02/2024</t>
  </si>
  <si>
    <t>19/02/2024</t>
  </si>
  <si>
    <t>26/02/2024</t>
  </si>
  <si>
    <t>04/03/2024</t>
  </si>
  <si>
    <t>11/03/2024</t>
  </si>
  <si>
    <t>18/03/2024</t>
  </si>
  <si>
    <t>25/03/2024</t>
  </si>
  <si>
    <t>01/04/2024</t>
  </si>
  <si>
    <t>08/04/2024</t>
  </si>
  <si>
    <t>15/04/2024</t>
  </si>
  <si>
    <t>22/04/2024</t>
  </si>
  <si>
    <t>29/04/2024</t>
  </si>
  <si>
    <t>06/05/2024</t>
  </si>
  <si>
    <t>13/05/2024</t>
  </si>
  <si>
    <t>20/05/2024</t>
  </si>
  <si>
    <t>27/05/2024</t>
  </si>
  <si>
    <t>03/06/2024</t>
  </si>
  <si>
    <t>10/06/2024</t>
  </si>
  <si>
    <t>17/06/2024</t>
  </si>
  <si>
    <t>24/06/2024</t>
  </si>
  <si>
    <t>01/07/2024</t>
  </si>
  <si>
    <t>08/07/2024</t>
  </si>
  <si>
    <t>15/07/2024</t>
  </si>
  <si>
    <t>22/07/2024</t>
  </si>
  <si>
    <t>29/07/2024</t>
  </si>
  <si>
    <t>05/08/2024</t>
  </si>
  <si>
    <t>12/08/2024</t>
  </si>
  <si>
    <t>19/08/2024</t>
  </si>
  <si>
    <t>26/08/2024</t>
  </si>
  <si>
    <t>02/09/2024</t>
  </si>
  <si>
    <t>09/09/2024</t>
  </si>
  <si>
    <t>16/09/2024</t>
  </si>
  <si>
    <t>23/09/2024</t>
  </si>
  <si>
    <t>30/09/2024</t>
  </si>
  <si>
    <t>07/10/2024</t>
  </si>
  <si>
    <t>14/10/2024</t>
  </si>
  <si>
    <t>21/10/2024</t>
  </si>
  <si>
    <t>28/10/2024</t>
  </si>
  <si>
    <t>04/11/2024</t>
  </si>
  <si>
    <t>11/11/2024</t>
  </si>
  <si>
    <t>18/11/2024</t>
  </si>
  <si>
    <t>25/11/2024</t>
  </si>
  <si>
    <t>02/12/2024</t>
  </si>
  <si>
    <t>09/12/2024</t>
  </si>
  <si>
    <t>16/12/2024</t>
  </si>
  <si>
    <t>23/12/2024</t>
  </si>
  <si>
    <t>30/12/2024</t>
  </si>
  <si>
    <t>TABEL 4.1 — STATISTIK DESKRIPTIF PENGGUNAAN MINGGUAN 16 OBAT (2023–2024)</t>
  </si>
  <si>
    <t>Seluruh nilai dihitung otomatis (rumus AVERAGE/MIN/MAX/STDEV) dari sheet "Data Mentah", periode 1–105 (tidak termasuk baris L0/minggu 26/12/2022).</t>
  </si>
  <si>
    <t>Nama Obat</t>
  </si>
  <si>
    <t>n</t>
  </si>
  <si>
    <t>Min</t>
  </si>
  <si>
    <t>Maks</t>
  </si>
  <si>
    <t>Rata-rata</t>
  </si>
  <si>
    <t>Std. Dev.</t>
  </si>
  <si>
    <t>Data unik</t>
  </si>
  <si>
    <t>Data identik dengan Afolat</t>
  </si>
  <si>
    <t>Data identik dengan Asam Mefenamat</t>
  </si>
  <si>
    <t>Data identik dengan Amoxicillin</t>
  </si>
  <si>
    <t>Data identik dengan Naturoksi</t>
  </si>
  <si>
    <t>Data identik dengan Gentamicin Injeksi</t>
  </si>
  <si>
    <t>Data identik dengan Tramadol Injeksi</t>
  </si>
  <si>
    <t>Data identik dengan Nazovel Suppositoria</t>
  </si>
  <si>
    <t>TABEL 4.2 — VERIFIKASI PASANGAN OBAT DENGAN DATA MINGGUAN YANG IDENTIK</t>
  </si>
  <si>
    <t>Kolom "Jumlah Selisih" dihitung dengan SUMPRODUCT membandingkan seluruh 105 nilai kedua obat; 0 berarti seluruh nilai identik.</t>
  </si>
  <si>
    <t>Obat dengan Data Identik</t>
  </si>
  <si>
    <t>Sama dengan Data Obat</t>
  </si>
  <si>
    <t>Jumlah Selisih (105 minggu)</t>
  </si>
  <si>
    <t>Status</t>
  </si>
  <si>
    <t>TABEL 4.3 — HASIL PEMBAGIAN DATA LATIH DAN DATA UJI</t>
  </si>
  <si>
    <t>Kelompok Data</t>
  </si>
  <si>
    <t>Proporsi</t>
  </si>
  <si>
    <t>Periode ke-</t>
  </si>
  <si>
    <t>Rentang Tanggal</t>
  </si>
  <si>
    <t>Jumlah Minggu</t>
  </si>
  <si>
    <t>Data Latih (Training)</t>
  </si>
  <si>
    <t>80%</t>
  </si>
  <si>
    <t>1 - 84</t>
  </si>
  <si>
    <t>Data Uji (Testing)</t>
  </si>
  <si>
    <t>20%</t>
  </si>
  <si>
    <t>85 - 105</t>
  </si>
  <si>
    <t>Total</t>
  </si>
  <si>
    <t>PERHITUNGAN DOUBLE EXPONENTIAL SMOOTHING — AFOLAT</t>
  </si>
  <si>
    <t>Rumus hidup: Level_t = α·Aktual_t + (1-α)·(Level_(t-1)+Tren_(t-1)); Tren_t = β·(Level_t-Level_(t-1)) + (1-β)·Tren_(t-1); Ramalan_t = Level_(t-1)+Tren_(t-1). Ubah α/β di bawah untuk menguji kombinasi lain — seluruh tabel &amp; ringkasan terhitung ulang otomatis.</t>
  </si>
  <si>
    <t>Nama Obat:</t>
  </si>
  <si>
    <t>Alpha (α):</t>
  </si>
  <si>
    <t>Beta (β):</t>
  </si>
  <si>
    <t>L0 (Level Awal):</t>
  </si>
  <si>
    <t>T0 (Tren Awal):</t>
  </si>
  <si>
    <t>Periode</t>
  </si>
  <si>
    <t>Aktual</t>
  </si>
  <si>
    <t>Level</t>
  </si>
  <si>
    <t>Tren</t>
  </si>
  <si>
    <t>Ramalan</t>
  </si>
  <si>
    <t>Error</t>
  </si>
  <si>
    <t>|Error|</t>
  </si>
  <si>
    <t>Error²</t>
  </si>
  <si>
    <t>APE (%)</t>
  </si>
  <si>
    <t>RINGKASAN EVALUASI (Data Uji — 21 Minggu Terakhir)</t>
  </si>
  <si>
    <t>MAD (Mean Absolute Deviation)</t>
  </si>
  <si>
    <t>MSE (Mean Squared Error)</t>
  </si>
  <si>
    <t>MAPE (Mean Absolute Percentage Error) %</t>
  </si>
  <si>
    <t>Kategori (Tabel 2.1)</t>
  </si>
  <si>
    <t>Prediksi Periode ke-106</t>
  </si>
  <si>
    <t>Rata-rata Historis (105 minggu)</t>
  </si>
  <si>
    <t>PERHITUNGAN DOUBLE EXPONENTIAL SMOOTHING — ASAM MEFENAMAT</t>
  </si>
  <si>
    <t>PERHITUNGAN DOUBLE EXPONENTIAL SMOOTHING — AMOXICILLIN</t>
  </si>
  <si>
    <t>PERHITUNGAN DOUBLE EXPONENTIAL SMOOTHING — NATUROKSI</t>
  </si>
  <si>
    <t>PERHITUNGAN DOUBLE EXPONENTIAL SMOOTHING — GENTAMICIN INJEKSI</t>
  </si>
  <si>
    <t>PERHITUNGAN DOUBLE EXPONENTIAL SMOOTHING — TRAMADOL INJEKSI</t>
  </si>
  <si>
    <t>PERHITUNGAN DOUBLE EXPONENTIAL SMOOTHING — NAZOVEL SUPPOSITORIA</t>
  </si>
  <si>
    <t>PERHITUNGAN DOUBLE EXPONENTIAL SMOOTHING — EPEXOL SYRUP</t>
  </si>
  <si>
    <t>PERHITUNGAN DOUBLE EXPONENTIAL SMOOTHING — APIALYS SYRUP</t>
  </si>
  <si>
    <t>TABEL 4.6 — RINGKASAN KOMBINASI PARAMETER TERBAIK (9 OBAT DENGAN DATA UNIK)</t>
  </si>
  <si>
    <t>Seluruh nilai merupakan tautan langsung (cross-sheet reference) ke ringkasan evaluasi pada masing-masing sheet DES_&lt;obat&gt;, sehingga akan otomatis diperbarui jika α/β pada sheet tersebut diubah.</t>
  </si>
  <si>
    <t>α Terbaik</t>
  </si>
  <si>
    <t>β Terbaik</t>
  </si>
  <si>
    <t>MAD</t>
  </si>
  <si>
    <t>MSE</t>
  </si>
  <si>
    <t>MAPE (%)</t>
  </si>
  <si>
    <t>Kategori</t>
  </si>
  <si>
    <t>TABEL 4.7 — HASIL EVALUASI TUJUH OBAT DENGAN DATA IDENTIK TERHADAP PASANGANNYA</t>
  </si>
  <si>
    <t>Karena DES bersifat deterministik terhadap deret input yang sama, nilai berikut ditautkan langsung ke hasil obat pasangannya pada "Tabel 4.6 Parameter Terbaik".</t>
  </si>
  <si>
    <t>Mengacu pada Obat</t>
  </si>
  <si>
    <t>α</t>
  </si>
  <si>
    <t>β</t>
  </si>
  <si>
    <t>TABEL 4.8 — PREDIKSI KEBUTUHAN OBAT PERIODE KE-106 DIBANDINGKAN RATA-RATA HISTORIS</t>
  </si>
  <si>
    <t>Prediksi dan rata-rata historis ditautkan langsung ke ringkasan evaluasi pada masing-masing sheet DES_&lt;obat&gt;.</t>
  </si>
  <si>
    <t>Rata-rata Historis</t>
  </si>
  <si>
    <t>Selisih</t>
  </si>
  <si>
    <t>Kategori MAPE</t>
  </si>
  <si>
    <t>SELURUH 81 KOMBINASI α × β PADA DATA OBAT AFOLAT (CONTOH LENGKAP)</t>
  </si>
  <si>
    <t>Hasil dihitung mengikuti rumus DES pada sheet "DES_Afolat" untuk setiap kombinasi α dan β (0,1 s.d. 0,9), dievaluasi pada 21 minggu data uji. Untuk menguji ulang atau memverifikasi baris mana pun, salin nilai α dan β dari baris tersebut ke sel E4/H4 pada sheet "DES_Afolat" — nilai MAD/MSE/MAPE pada sheet tersebut akan menyesuaikan.</t>
  </si>
  <si>
    <t>Alpha (α)</t>
  </si>
  <si>
    <t>Beta (β)</t>
  </si>
  <si>
    <t>SELURUH 729 KOMBINASI α × β (81 × 9 OBAT DENGAN DATA UNIK)</t>
  </si>
  <si>
    <t>Dihitung dengan metode dan struktur formula yang identik dengan sheet DES_&lt;obat&gt; untuk setiap obat, pada seluruh 81 kombinasi α dan β, dievaluasi pada 21 minggu data uji. Baris dengan MAPE terendah per obat (kolom "Terbaik") menjadi dasar Tabel 4.6.</t>
  </si>
  <si>
    <t>Terbaik?</t>
  </si>
  <si>
    <t>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</si>
</sst>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1" x14ac:knownFonts="1">
    <font>
      <sz val="11"/>
      <color theme="1"/>
      <name val="Calibri"/>
      <family val="2"/>
      <charset val="1"/>
    </font>
    <font>
      <b/>
      <sz val="14"/>
      <color rgb="FF1F5FA8"/>
      <name val="Arial"/>
      <charset val="1"/>
    </font>
    <font>
      <b/>
      <sz val="10"/>
      <color rgb="FFFFFFFF"/>
      <name val="Arial"/>
      <charset val="1"/>
    </font>
    <font>
      <i/>
      <sz val="9"/>
      <color rgb="FF666666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b/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5FA8"/>
        <bgColor rgb="FF3366FF"/>
      </patternFill>
    </fill>
    <fill>
      <patternFill patternType="solid">
        <fgColor rgb="FFD9EAF7"/>
        <bgColor rgb="FFCCFFFF"/>
      </patternFill>
    </fill>
    <fill>
      <patternFill patternType="solid">
        <fgColor rgb="FFFFF3CD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8" fillId="0" borderId="0" xfId="0" applyFont="1"/>
    <xf numFmtId="0" fontId="8" fillId="3" borderId="0" xfId="0" applyFont="1" applyFill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/>
    <xf numFmtId="0" fontId="0" fillId="0" borderId="1" xfId="0" applyBorder="1"/>
    <xf numFmtId="0" fontId="6" fillId="0" borderId="1" xfId="0" applyFont="1" applyBorder="1"/>
    <xf numFmtId="0" fontId="8" fillId="0" borderId="0" xfId="0" applyFont="1"/>
    <xf numFmtId="0" fontId="5" fillId="0" borderId="0" xfId="0" applyFont="1"/>
    <xf numFmtId="0" fontId="4" fillId="0" borderId="0" xfId="0" applyFont="1"/>
    <xf numFmtId="0" fontId="9" fillId="0" borderId="0" xfId="0" applyFont="1"/>
    <xf numFmtId="0" fontId="9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9EAF7"/>
      <rgbColor rgb="FF660066"/>
      <rgbColor rgb="FFFF8080"/>
      <rgbColor rgb="FF1F5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0"/>
  <sheetViews>
    <sheetView zoomScaleNormal="100" workbookViewId="0">
      <pane xSplit="2" ySplit="4" topLeftCell="C74" activePane="bottomRight" state="frozen"/>
      <selection pane="topRight" activeCell="C1" sqref="C1"/>
      <selection pane="bottomLeft" activeCell="A5" sqref="A5"/>
      <selection pane="bottomRight" sqref="A1:Q1"/>
    </sheetView>
  </sheetViews>
  <sheetFormatPr defaultColWidth="8.6328125" defaultRowHeight="14.5" x14ac:dyDescent="0.35"/>
  <cols>
    <col min="1" max="1" width="5" customWidth="1"/>
    <col min="2" max="2" width="12" customWidth="1"/>
    <col min="3" max="18" width="11" customWidth="1"/>
  </cols>
  <sheetData>
    <row r="1" spans="1:18" ht="18" x14ac:dyDescent="0.4">
      <c r="A1" s="3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8" ht="27.75" customHeight="1" x14ac:dyDescent="0.35">
      <c r="A2" s="4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spans="1:18" ht="39" x14ac:dyDescent="0.35">
      <c r="A4" s="5" t="s">
        <v>0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spans="1:18" x14ac:dyDescent="0.35">
      <c r="A5" s="8">
        <v>0</v>
      </c>
      <c r="B5" s="8" t="s">
        <v>21</v>
      </c>
      <c r="C5" s="8">
        <v>11</v>
      </c>
      <c r="D5" s="8">
        <v>25</v>
      </c>
      <c r="E5" s="8">
        <v>15</v>
      </c>
      <c r="F5" s="8">
        <v>28</v>
      </c>
      <c r="G5" s="8">
        <v>7</v>
      </c>
      <c r="H5" s="8">
        <v>23</v>
      </c>
      <c r="I5" s="8">
        <v>26</v>
      </c>
      <c r="J5" s="8">
        <v>11</v>
      </c>
      <c r="K5" s="8">
        <v>25</v>
      </c>
      <c r="L5" s="8">
        <v>15</v>
      </c>
      <c r="M5" s="8">
        <v>28</v>
      </c>
      <c r="N5" s="8">
        <v>7</v>
      </c>
      <c r="O5" s="8">
        <v>23</v>
      </c>
      <c r="P5" s="8">
        <v>26</v>
      </c>
      <c r="Q5" s="8">
        <v>13</v>
      </c>
      <c r="R5" s="8">
        <v>21</v>
      </c>
    </row>
    <row r="6" spans="1:18" x14ac:dyDescent="0.35">
      <c r="A6" s="8">
        <v>1</v>
      </c>
      <c r="B6" s="8" t="s">
        <v>22</v>
      </c>
      <c r="C6" s="8">
        <v>70</v>
      </c>
      <c r="D6" s="8">
        <v>54</v>
      </c>
      <c r="E6" s="8">
        <v>69</v>
      </c>
      <c r="F6" s="8">
        <v>80</v>
      </c>
      <c r="G6" s="8">
        <v>37</v>
      </c>
      <c r="H6" s="8">
        <v>71</v>
      </c>
      <c r="I6" s="8">
        <v>60</v>
      </c>
      <c r="J6" s="8">
        <v>70</v>
      </c>
      <c r="K6" s="8">
        <v>54</v>
      </c>
      <c r="L6" s="8">
        <v>69</v>
      </c>
      <c r="M6" s="8">
        <v>80</v>
      </c>
      <c r="N6" s="8">
        <v>37</v>
      </c>
      <c r="O6" s="8">
        <v>71</v>
      </c>
      <c r="P6" s="8">
        <v>60</v>
      </c>
      <c r="Q6" s="8">
        <v>71</v>
      </c>
      <c r="R6" s="8">
        <v>74</v>
      </c>
    </row>
    <row r="7" spans="1:18" x14ac:dyDescent="0.35">
      <c r="A7" s="8">
        <v>2</v>
      </c>
      <c r="B7" s="8" t="s">
        <v>23</v>
      </c>
      <c r="C7" s="8">
        <v>90</v>
      </c>
      <c r="D7" s="8">
        <v>80</v>
      </c>
      <c r="E7" s="8">
        <v>75</v>
      </c>
      <c r="F7" s="8">
        <v>104</v>
      </c>
      <c r="G7" s="8">
        <v>63</v>
      </c>
      <c r="H7" s="8">
        <v>76</v>
      </c>
      <c r="I7" s="8">
        <v>78</v>
      </c>
      <c r="J7" s="8">
        <v>90</v>
      </c>
      <c r="K7" s="8">
        <v>80</v>
      </c>
      <c r="L7" s="8">
        <v>75</v>
      </c>
      <c r="M7" s="8">
        <v>104</v>
      </c>
      <c r="N7" s="8">
        <v>63</v>
      </c>
      <c r="O7" s="8">
        <v>76</v>
      </c>
      <c r="P7" s="8">
        <v>78</v>
      </c>
      <c r="Q7" s="8">
        <v>88</v>
      </c>
      <c r="R7" s="8">
        <v>88</v>
      </c>
    </row>
    <row r="8" spans="1:18" x14ac:dyDescent="0.35">
      <c r="A8" s="8">
        <v>3</v>
      </c>
      <c r="B8" s="8" t="s">
        <v>24</v>
      </c>
      <c r="C8" s="8">
        <v>101</v>
      </c>
      <c r="D8" s="8">
        <v>89</v>
      </c>
      <c r="E8" s="8">
        <v>95</v>
      </c>
      <c r="F8" s="8">
        <v>106</v>
      </c>
      <c r="G8" s="8">
        <v>78</v>
      </c>
      <c r="H8" s="8">
        <v>83</v>
      </c>
      <c r="I8" s="8">
        <v>91</v>
      </c>
      <c r="J8" s="8">
        <v>101</v>
      </c>
      <c r="K8" s="8">
        <v>89</v>
      </c>
      <c r="L8" s="8">
        <v>95</v>
      </c>
      <c r="M8" s="8">
        <v>106</v>
      </c>
      <c r="N8" s="8">
        <v>78</v>
      </c>
      <c r="O8" s="8">
        <v>83</v>
      </c>
      <c r="P8" s="8">
        <v>91</v>
      </c>
      <c r="Q8" s="8">
        <v>94</v>
      </c>
      <c r="R8" s="8">
        <v>103</v>
      </c>
    </row>
    <row r="9" spans="1:18" x14ac:dyDescent="0.35">
      <c r="A9" s="8">
        <v>4</v>
      </c>
      <c r="B9" s="8" t="s">
        <v>25</v>
      </c>
      <c r="C9" s="8">
        <v>124</v>
      </c>
      <c r="D9" s="8">
        <v>114</v>
      </c>
      <c r="E9" s="8">
        <v>121</v>
      </c>
      <c r="F9" s="8">
        <v>127</v>
      </c>
      <c r="G9" s="8">
        <v>109</v>
      </c>
      <c r="H9" s="8">
        <v>114</v>
      </c>
      <c r="I9" s="8">
        <v>112</v>
      </c>
      <c r="J9" s="8">
        <v>124</v>
      </c>
      <c r="K9" s="8">
        <v>114</v>
      </c>
      <c r="L9" s="8">
        <v>121</v>
      </c>
      <c r="M9" s="8">
        <v>127</v>
      </c>
      <c r="N9" s="8">
        <v>109</v>
      </c>
      <c r="O9" s="8">
        <v>114</v>
      </c>
      <c r="P9" s="8">
        <v>112</v>
      </c>
      <c r="Q9" s="8">
        <v>125</v>
      </c>
      <c r="R9" s="8">
        <v>130</v>
      </c>
    </row>
    <row r="10" spans="1:18" x14ac:dyDescent="0.35">
      <c r="A10" s="8">
        <v>5</v>
      </c>
      <c r="B10" s="8" t="s">
        <v>26</v>
      </c>
      <c r="C10" s="8">
        <v>128</v>
      </c>
      <c r="D10" s="8">
        <v>123</v>
      </c>
      <c r="E10" s="8">
        <v>116</v>
      </c>
      <c r="F10" s="8">
        <v>127</v>
      </c>
      <c r="G10" s="8">
        <v>133</v>
      </c>
      <c r="H10" s="8">
        <v>123</v>
      </c>
      <c r="I10" s="8">
        <v>121</v>
      </c>
      <c r="J10" s="8">
        <v>128</v>
      </c>
      <c r="K10" s="8">
        <v>123</v>
      </c>
      <c r="L10" s="8">
        <v>116</v>
      </c>
      <c r="M10" s="8">
        <v>127</v>
      </c>
      <c r="N10" s="8">
        <v>133</v>
      </c>
      <c r="O10" s="8">
        <v>123</v>
      </c>
      <c r="P10" s="8">
        <v>121</v>
      </c>
      <c r="Q10" s="8">
        <v>125</v>
      </c>
      <c r="R10" s="8">
        <v>118</v>
      </c>
    </row>
    <row r="11" spans="1:18" x14ac:dyDescent="0.35">
      <c r="A11" s="8">
        <v>6</v>
      </c>
      <c r="B11" s="8" t="s">
        <v>27</v>
      </c>
      <c r="C11" s="8">
        <v>130</v>
      </c>
      <c r="D11" s="8">
        <v>129</v>
      </c>
      <c r="E11" s="8">
        <v>120</v>
      </c>
      <c r="F11" s="8">
        <v>121</v>
      </c>
      <c r="G11" s="8">
        <v>131</v>
      </c>
      <c r="H11" s="8">
        <v>128</v>
      </c>
      <c r="I11" s="8">
        <v>121</v>
      </c>
      <c r="J11" s="8">
        <v>130</v>
      </c>
      <c r="K11" s="8">
        <v>129</v>
      </c>
      <c r="L11" s="8">
        <v>120</v>
      </c>
      <c r="M11" s="8">
        <v>121</v>
      </c>
      <c r="N11" s="8">
        <v>131</v>
      </c>
      <c r="O11" s="8">
        <v>128</v>
      </c>
      <c r="P11" s="8">
        <v>121</v>
      </c>
      <c r="Q11" s="8">
        <v>125</v>
      </c>
      <c r="R11" s="8">
        <v>117</v>
      </c>
    </row>
    <row r="12" spans="1:18" x14ac:dyDescent="0.35">
      <c r="A12" s="8">
        <v>7</v>
      </c>
      <c r="B12" s="8" t="s">
        <v>28</v>
      </c>
      <c r="C12" s="8">
        <v>125</v>
      </c>
      <c r="D12" s="8">
        <v>118</v>
      </c>
      <c r="E12" s="8">
        <v>109</v>
      </c>
      <c r="F12" s="8">
        <v>118</v>
      </c>
      <c r="G12" s="8">
        <v>130</v>
      </c>
      <c r="H12" s="8">
        <v>123</v>
      </c>
      <c r="I12" s="8">
        <v>122</v>
      </c>
      <c r="J12" s="8">
        <v>125</v>
      </c>
      <c r="K12" s="8">
        <v>118</v>
      </c>
      <c r="L12" s="8">
        <v>109</v>
      </c>
      <c r="M12" s="8">
        <v>118</v>
      </c>
      <c r="N12" s="8">
        <v>130</v>
      </c>
      <c r="O12" s="8">
        <v>123</v>
      </c>
      <c r="P12" s="8">
        <v>122</v>
      </c>
      <c r="Q12" s="8">
        <v>119</v>
      </c>
      <c r="R12" s="8">
        <v>113</v>
      </c>
    </row>
    <row r="13" spans="1:18" x14ac:dyDescent="0.35">
      <c r="A13" s="8">
        <v>8</v>
      </c>
      <c r="B13" s="8" t="s">
        <v>29</v>
      </c>
      <c r="C13" s="8">
        <v>131</v>
      </c>
      <c r="D13" s="8">
        <v>117</v>
      </c>
      <c r="E13" s="8">
        <v>105</v>
      </c>
      <c r="F13" s="8">
        <v>114</v>
      </c>
      <c r="G13" s="8">
        <v>127</v>
      </c>
      <c r="H13" s="8">
        <v>120</v>
      </c>
      <c r="I13" s="8">
        <v>122</v>
      </c>
      <c r="J13" s="8">
        <v>131</v>
      </c>
      <c r="K13" s="8">
        <v>117</v>
      </c>
      <c r="L13" s="8">
        <v>105</v>
      </c>
      <c r="M13" s="8">
        <v>114</v>
      </c>
      <c r="N13" s="8">
        <v>127</v>
      </c>
      <c r="O13" s="8">
        <v>120</v>
      </c>
      <c r="P13" s="8">
        <v>122</v>
      </c>
      <c r="Q13" s="8">
        <v>118</v>
      </c>
      <c r="R13" s="8">
        <v>114</v>
      </c>
    </row>
    <row r="14" spans="1:18" x14ac:dyDescent="0.35">
      <c r="A14" s="8">
        <v>9</v>
      </c>
      <c r="B14" s="8" t="s">
        <v>30</v>
      </c>
      <c r="C14" s="8">
        <v>121</v>
      </c>
      <c r="D14" s="8">
        <v>116</v>
      </c>
      <c r="E14" s="8">
        <v>104</v>
      </c>
      <c r="F14" s="8">
        <v>111</v>
      </c>
      <c r="G14" s="8">
        <v>122</v>
      </c>
      <c r="H14" s="8">
        <v>106</v>
      </c>
      <c r="I14" s="8">
        <v>123</v>
      </c>
      <c r="J14" s="8">
        <v>121</v>
      </c>
      <c r="K14" s="8">
        <v>116</v>
      </c>
      <c r="L14" s="8">
        <v>104</v>
      </c>
      <c r="M14" s="8">
        <v>111</v>
      </c>
      <c r="N14" s="8">
        <v>122</v>
      </c>
      <c r="O14" s="8">
        <v>106</v>
      </c>
      <c r="P14" s="8">
        <v>123</v>
      </c>
      <c r="Q14" s="8">
        <v>112</v>
      </c>
      <c r="R14" s="8">
        <v>120</v>
      </c>
    </row>
    <row r="15" spans="1:18" x14ac:dyDescent="0.35">
      <c r="A15" s="8">
        <v>10</v>
      </c>
      <c r="B15" s="8" t="s">
        <v>31</v>
      </c>
      <c r="C15" s="8">
        <v>110</v>
      </c>
      <c r="D15" s="8">
        <v>108</v>
      </c>
      <c r="E15" s="8">
        <v>115</v>
      </c>
      <c r="F15" s="8">
        <v>101</v>
      </c>
      <c r="G15" s="8">
        <v>121</v>
      </c>
      <c r="H15" s="8">
        <v>104</v>
      </c>
      <c r="I15" s="8">
        <v>121</v>
      </c>
      <c r="J15" s="8">
        <v>110</v>
      </c>
      <c r="K15" s="8">
        <v>108</v>
      </c>
      <c r="L15" s="8">
        <v>115</v>
      </c>
      <c r="M15" s="8">
        <v>101</v>
      </c>
      <c r="N15" s="8">
        <v>121</v>
      </c>
      <c r="O15" s="8">
        <v>104</v>
      </c>
      <c r="P15" s="8">
        <v>121</v>
      </c>
      <c r="Q15" s="8">
        <v>108</v>
      </c>
      <c r="R15" s="8">
        <v>129</v>
      </c>
    </row>
    <row r="16" spans="1:18" x14ac:dyDescent="0.35">
      <c r="A16" s="8">
        <v>11</v>
      </c>
      <c r="B16" s="8" t="s">
        <v>32</v>
      </c>
      <c r="C16" s="8">
        <v>107</v>
      </c>
      <c r="D16" s="8">
        <v>113</v>
      </c>
      <c r="E16" s="8">
        <v>126</v>
      </c>
      <c r="F16" s="8">
        <v>99</v>
      </c>
      <c r="G16" s="8">
        <v>127</v>
      </c>
      <c r="H16" s="8">
        <v>112</v>
      </c>
      <c r="I16" s="8">
        <v>116</v>
      </c>
      <c r="J16" s="8">
        <v>107</v>
      </c>
      <c r="K16" s="8">
        <v>113</v>
      </c>
      <c r="L16" s="8">
        <v>126</v>
      </c>
      <c r="M16" s="8">
        <v>99</v>
      </c>
      <c r="N16" s="8">
        <v>127</v>
      </c>
      <c r="O16" s="8">
        <v>112</v>
      </c>
      <c r="P16" s="8">
        <v>116</v>
      </c>
      <c r="Q16" s="8">
        <v>112</v>
      </c>
      <c r="R16" s="8">
        <v>122</v>
      </c>
    </row>
    <row r="17" spans="1:18" x14ac:dyDescent="0.35">
      <c r="A17" s="8">
        <v>12</v>
      </c>
      <c r="B17" s="8" t="s">
        <v>33</v>
      </c>
      <c r="C17" s="8">
        <v>106</v>
      </c>
      <c r="D17" s="8">
        <v>106</v>
      </c>
      <c r="E17" s="8">
        <v>133</v>
      </c>
      <c r="F17" s="8">
        <v>108</v>
      </c>
      <c r="G17" s="8">
        <v>137</v>
      </c>
      <c r="H17" s="8">
        <v>102</v>
      </c>
      <c r="I17" s="8">
        <v>119</v>
      </c>
      <c r="J17" s="8">
        <v>106</v>
      </c>
      <c r="K17" s="8">
        <v>106</v>
      </c>
      <c r="L17" s="8">
        <v>133</v>
      </c>
      <c r="M17" s="8">
        <v>108</v>
      </c>
      <c r="N17" s="8">
        <v>137</v>
      </c>
      <c r="O17" s="8">
        <v>102</v>
      </c>
      <c r="P17" s="8">
        <v>119</v>
      </c>
      <c r="Q17" s="8">
        <v>112</v>
      </c>
      <c r="R17" s="8">
        <v>123</v>
      </c>
    </row>
    <row r="18" spans="1:18" x14ac:dyDescent="0.35">
      <c r="A18" s="8">
        <v>13</v>
      </c>
      <c r="B18" s="8" t="s">
        <v>34</v>
      </c>
      <c r="C18" s="8">
        <v>116</v>
      </c>
      <c r="D18" s="8">
        <v>108</v>
      </c>
      <c r="E18" s="8">
        <v>139</v>
      </c>
      <c r="F18" s="8">
        <v>110</v>
      </c>
      <c r="G18" s="8">
        <v>131</v>
      </c>
      <c r="H18" s="8">
        <v>106</v>
      </c>
      <c r="I18" s="8">
        <v>116</v>
      </c>
      <c r="J18" s="8">
        <v>116</v>
      </c>
      <c r="K18" s="8">
        <v>108</v>
      </c>
      <c r="L18" s="8">
        <v>139</v>
      </c>
      <c r="M18" s="8">
        <v>110</v>
      </c>
      <c r="N18" s="8">
        <v>131</v>
      </c>
      <c r="O18" s="8">
        <v>106</v>
      </c>
      <c r="P18" s="8">
        <v>116</v>
      </c>
      <c r="Q18" s="8">
        <v>117</v>
      </c>
      <c r="R18" s="8">
        <v>123</v>
      </c>
    </row>
    <row r="19" spans="1:18" x14ac:dyDescent="0.35">
      <c r="A19" s="8">
        <v>14</v>
      </c>
      <c r="B19" s="8" t="s">
        <v>35</v>
      </c>
      <c r="C19" s="8">
        <v>130</v>
      </c>
      <c r="D19" s="8">
        <v>112</v>
      </c>
      <c r="E19" s="8">
        <v>138</v>
      </c>
      <c r="F19" s="8">
        <v>122</v>
      </c>
      <c r="G19" s="8">
        <v>137</v>
      </c>
      <c r="H19" s="8">
        <v>113</v>
      </c>
      <c r="I19" s="8">
        <v>123</v>
      </c>
      <c r="J19" s="8">
        <v>130</v>
      </c>
      <c r="K19" s="8">
        <v>112</v>
      </c>
      <c r="L19" s="8">
        <v>138</v>
      </c>
      <c r="M19" s="8">
        <v>122</v>
      </c>
      <c r="N19" s="8">
        <v>137</v>
      </c>
      <c r="O19" s="8">
        <v>113</v>
      </c>
      <c r="P19" s="8">
        <v>123</v>
      </c>
      <c r="Q19" s="8">
        <v>117</v>
      </c>
      <c r="R19" s="8">
        <v>124</v>
      </c>
    </row>
    <row r="20" spans="1:18" x14ac:dyDescent="0.35">
      <c r="A20" s="8">
        <v>15</v>
      </c>
      <c r="B20" s="8" t="s">
        <v>36</v>
      </c>
      <c r="C20" s="8">
        <v>130</v>
      </c>
      <c r="D20" s="8">
        <v>115</v>
      </c>
      <c r="E20" s="8">
        <v>131</v>
      </c>
      <c r="F20" s="8">
        <v>120</v>
      </c>
      <c r="G20" s="8">
        <v>139</v>
      </c>
      <c r="H20" s="8">
        <v>114</v>
      </c>
      <c r="I20" s="8">
        <v>124</v>
      </c>
      <c r="J20" s="8">
        <v>130</v>
      </c>
      <c r="K20" s="8">
        <v>115</v>
      </c>
      <c r="L20" s="8">
        <v>131</v>
      </c>
      <c r="M20" s="8">
        <v>120</v>
      </c>
      <c r="N20" s="8">
        <v>139</v>
      </c>
      <c r="O20" s="8">
        <v>114</v>
      </c>
      <c r="P20" s="8">
        <v>124</v>
      </c>
      <c r="Q20" s="8">
        <v>124</v>
      </c>
      <c r="R20" s="8">
        <v>130</v>
      </c>
    </row>
    <row r="21" spans="1:18" x14ac:dyDescent="0.35">
      <c r="A21" s="8">
        <v>16</v>
      </c>
      <c r="B21" s="8" t="s">
        <v>37</v>
      </c>
      <c r="C21" s="8">
        <v>129</v>
      </c>
      <c r="D21" s="8">
        <v>116</v>
      </c>
      <c r="E21" s="8">
        <v>130</v>
      </c>
      <c r="F21" s="8">
        <v>111</v>
      </c>
      <c r="G21" s="8">
        <v>126</v>
      </c>
      <c r="H21" s="8">
        <v>116</v>
      </c>
      <c r="I21" s="8">
        <v>120</v>
      </c>
      <c r="J21" s="8">
        <v>129</v>
      </c>
      <c r="K21" s="8">
        <v>116</v>
      </c>
      <c r="L21" s="8">
        <v>130</v>
      </c>
      <c r="M21" s="8">
        <v>111</v>
      </c>
      <c r="N21" s="8">
        <v>126</v>
      </c>
      <c r="O21" s="8">
        <v>116</v>
      </c>
      <c r="P21" s="8">
        <v>120</v>
      </c>
      <c r="Q21" s="8">
        <v>118</v>
      </c>
      <c r="R21" s="8">
        <v>121</v>
      </c>
    </row>
    <row r="22" spans="1:18" x14ac:dyDescent="0.35">
      <c r="A22" s="8">
        <v>17</v>
      </c>
      <c r="B22" s="8" t="s">
        <v>38</v>
      </c>
      <c r="C22" s="8">
        <v>110</v>
      </c>
      <c r="D22" s="8">
        <v>117</v>
      </c>
      <c r="E22" s="8">
        <v>129</v>
      </c>
      <c r="F22" s="8">
        <v>110</v>
      </c>
      <c r="G22" s="8">
        <v>122</v>
      </c>
      <c r="H22" s="8">
        <v>113</v>
      </c>
      <c r="I22" s="8">
        <v>111</v>
      </c>
      <c r="J22" s="8">
        <v>110</v>
      </c>
      <c r="K22" s="8">
        <v>117</v>
      </c>
      <c r="L22" s="8">
        <v>129</v>
      </c>
      <c r="M22" s="8">
        <v>110</v>
      </c>
      <c r="N22" s="8">
        <v>122</v>
      </c>
      <c r="O22" s="8">
        <v>113</v>
      </c>
      <c r="P22" s="8">
        <v>111</v>
      </c>
      <c r="Q22" s="8">
        <v>111</v>
      </c>
      <c r="R22" s="8">
        <v>127</v>
      </c>
    </row>
    <row r="23" spans="1:18" x14ac:dyDescent="0.35">
      <c r="A23" s="8">
        <v>18</v>
      </c>
      <c r="B23" s="8" t="s">
        <v>39</v>
      </c>
      <c r="C23" s="8">
        <v>98</v>
      </c>
      <c r="D23" s="8">
        <v>112</v>
      </c>
      <c r="E23" s="8">
        <v>114</v>
      </c>
      <c r="F23" s="8">
        <v>101</v>
      </c>
      <c r="G23" s="8">
        <v>122</v>
      </c>
      <c r="H23" s="8">
        <v>114</v>
      </c>
      <c r="I23" s="8">
        <v>107</v>
      </c>
      <c r="J23" s="8">
        <v>98</v>
      </c>
      <c r="K23" s="8">
        <v>112</v>
      </c>
      <c r="L23" s="8">
        <v>114</v>
      </c>
      <c r="M23" s="8">
        <v>101</v>
      </c>
      <c r="N23" s="8">
        <v>122</v>
      </c>
      <c r="O23" s="8">
        <v>114</v>
      </c>
      <c r="P23" s="8">
        <v>107</v>
      </c>
      <c r="Q23" s="8">
        <v>115</v>
      </c>
      <c r="R23" s="8">
        <v>123</v>
      </c>
    </row>
    <row r="24" spans="1:18" x14ac:dyDescent="0.35">
      <c r="A24" s="8">
        <v>19</v>
      </c>
      <c r="B24" s="8" t="s">
        <v>40</v>
      </c>
      <c r="C24" s="8">
        <v>103</v>
      </c>
      <c r="D24" s="8">
        <v>122</v>
      </c>
      <c r="E24" s="8">
        <v>119</v>
      </c>
      <c r="F24" s="8">
        <v>108</v>
      </c>
      <c r="G24" s="8">
        <v>116</v>
      </c>
      <c r="H24" s="8">
        <v>110</v>
      </c>
      <c r="I24" s="8">
        <v>120</v>
      </c>
      <c r="J24" s="8">
        <v>103</v>
      </c>
      <c r="K24" s="8">
        <v>122</v>
      </c>
      <c r="L24" s="8">
        <v>119</v>
      </c>
      <c r="M24" s="8">
        <v>108</v>
      </c>
      <c r="N24" s="8">
        <v>116</v>
      </c>
      <c r="O24" s="8">
        <v>110</v>
      </c>
      <c r="P24" s="8">
        <v>120</v>
      </c>
      <c r="Q24" s="8">
        <v>118</v>
      </c>
      <c r="R24" s="8">
        <v>117</v>
      </c>
    </row>
    <row r="25" spans="1:18" x14ac:dyDescent="0.35">
      <c r="A25" s="8">
        <v>20</v>
      </c>
      <c r="B25" s="8" t="s">
        <v>41</v>
      </c>
      <c r="C25" s="8">
        <v>91</v>
      </c>
      <c r="D25" s="8">
        <v>121</v>
      </c>
      <c r="E25" s="8">
        <v>119</v>
      </c>
      <c r="F25" s="8">
        <v>119</v>
      </c>
      <c r="G25" s="8">
        <v>121</v>
      </c>
      <c r="H25" s="8">
        <v>119</v>
      </c>
      <c r="I25" s="8">
        <v>128</v>
      </c>
      <c r="J25" s="8">
        <v>91</v>
      </c>
      <c r="K25" s="8">
        <v>121</v>
      </c>
      <c r="L25" s="8">
        <v>119</v>
      </c>
      <c r="M25" s="8">
        <v>119</v>
      </c>
      <c r="N25" s="8">
        <v>121</v>
      </c>
      <c r="O25" s="8">
        <v>119</v>
      </c>
      <c r="P25" s="8">
        <v>128</v>
      </c>
      <c r="Q25" s="8">
        <v>113</v>
      </c>
      <c r="R25" s="8">
        <v>121</v>
      </c>
    </row>
    <row r="26" spans="1:18" x14ac:dyDescent="0.35">
      <c r="A26" s="8">
        <v>21</v>
      </c>
      <c r="B26" s="8" t="s">
        <v>42</v>
      </c>
      <c r="C26" s="8">
        <v>99</v>
      </c>
      <c r="D26" s="8">
        <v>126</v>
      </c>
      <c r="E26" s="8">
        <v>114</v>
      </c>
      <c r="F26" s="8">
        <v>124</v>
      </c>
      <c r="G26" s="8">
        <v>126</v>
      </c>
      <c r="H26" s="8">
        <v>123</v>
      </c>
      <c r="I26" s="8">
        <v>131</v>
      </c>
      <c r="J26" s="8">
        <v>99</v>
      </c>
      <c r="K26" s="8">
        <v>126</v>
      </c>
      <c r="L26" s="8">
        <v>114</v>
      </c>
      <c r="M26" s="8">
        <v>124</v>
      </c>
      <c r="N26" s="8">
        <v>126</v>
      </c>
      <c r="O26" s="8">
        <v>123</v>
      </c>
      <c r="P26" s="8">
        <v>131</v>
      </c>
      <c r="Q26" s="8">
        <v>120</v>
      </c>
      <c r="R26" s="8">
        <v>108</v>
      </c>
    </row>
    <row r="27" spans="1:18" x14ac:dyDescent="0.35">
      <c r="A27" s="8">
        <v>22</v>
      </c>
      <c r="B27" s="8" t="s">
        <v>43</v>
      </c>
      <c r="C27" s="8">
        <v>107</v>
      </c>
      <c r="D27" s="8">
        <v>128</v>
      </c>
      <c r="E27" s="8">
        <v>121</v>
      </c>
      <c r="F27" s="8">
        <v>133</v>
      </c>
      <c r="G27" s="8">
        <v>114</v>
      </c>
      <c r="H27" s="8">
        <v>117</v>
      </c>
      <c r="I27" s="8">
        <v>134</v>
      </c>
      <c r="J27" s="8">
        <v>107</v>
      </c>
      <c r="K27" s="8">
        <v>128</v>
      </c>
      <c r="L27" s="8">
        <v>121</v>
      </c>
      <c r="M27" s="8">
        <v>133</v>
      </c>
      <c r="N27" s="8">
        <v>114</v>
      </c>
      <c r="O27" s="8">
        <v>117</v>
      </c>
      <c r="P27" s="8">
        <v>134</v>
      </c>
      <c r="Q27" s="8">
        <v>126</v>
      </c>
      <c r="R27" s="8">
        <v>102</v>
      </c>
    </row>
    <row r="28" spans="1:18" x14ac:dyDescent="0.35">
      <c r="A28" s="8">
        <v>23</v>
      </c>
      <c r="B28" s="8" t="s">
        <v>44</v>
      </c>
      <c r="C28" s="8">
        <v>102</v>
      </c>
      <c r="D28" s="8">
        <v>119</v>
      </c>
      <c r="E28" s="8">
        <v>122</v>
      </c>
      <c r="F28" s="8">
        <v>135</v>
      </c>
      <c r="G28" s="8">
        <v>107</v>
      </c>
      <c r="H28" s="8">
        <v>117</v>
      </c>
      <c r="I28" s="8">
        <v>116</v>
      </c>
      <c r="J28" s="8">
        <v>102</v>
      </c>
      <c r="K28" s="8">
        <v>119</v>
      </c>
      <c r="L28" s="8">
        <v>122</v>
      </c>
      <c r="M28" s="8">
        <v>135</v>
      </c>
      <c r="N28" s="8">
        <v>107</v>
      </c>
      <c r="O28" s="8">
        <v>117</v>
      </c>
      <c r="P28" s="8">
        <v>116</v>
      </c>
      <c r="Q28" s="8">
        <v>111</v>
      </c>
      <c r="R28" s="8">
        <v>99</v>
      </c>
    </row>
    <row r="29" spans="1:18" x14ac:dyDescent="0.35">
      <c r="A29" s="8">
        <v>24</v>
      </c>
      <c r="B29" s="8" t="s">
        <v>45</v>
      </c>
      <c r="C29" s="8">
        <v>110</v>
      </c>
      <c r="D29" s="8">
        <v>132</v>
      </c>
      <c r="E29" s="8">
        <v>126</v>
      </c>
      <c r="F29" s="8">
        <v>125</v>
      </c>
      <c r="G29" s="8">
        <v>118</v>
      </c>
      <c r="H29" s="8">
        <v>108</v>
      </c>
      <c r="I29" s="8">
        <v>118</v>
      </c>
      <c r="J29" s="8">
        <v>110</v>
      </c>
      <c r="K29" s="8">
        <v>132</v>
      </c>
      <c r="L29" s="8">
        <v>126</v>
      </c>
      <c r="M29" s="8">
        <v>125</v>
      </c>
      <c r="N29" s="8">
        <v>118</v>
      </c>
      <c r="O29" s="8">
        <v>108</v>
      </c>
      <c r="P29" s="8">
        <v>118</v>
      </c>
      <c r="Q29" s="8">
        <v>119</v>
      </c>
      <c r="R29" s="8">
        <v>102</v>
      </c>
    </row>
    <row r="30" spans="1:18" x14ac:dyDescent="0.35">
      <c r="A30" s="8">
        <v>25</v>
      </c>
      <c r="B30" s="8" t="s">
        <v>46</v>
      </c>
      <c r="C30" s="8">
        <v>119</v>
      </c>
      <c r="D30" s="8">
        <v>119</v>
      </c>
      <c r="E30" s="8">
        <v>126</v>
      </c>
      <c r="F30" s="8">
        <v>118</v>
      </c>
      <c r="G30" s="8">
        <v>119</v>
      </c>
      <c r="H30" s="8">
        <v>118</v>
      </c>
      <c r="I30" s="8">
        <v>127</v>
      </c>
      <c r="J30" s="8">
        <v>119</v>
      </c>
      <c r="K30" s="8">
        <v>119</v>
      </c>
      <c r="L30" s="8">
        <v>126</v>
      </c>
      <c r="M30" s="8">
        <v>118</v>
      </c>
      <c r="N30" s="8">
        <v>119</v>
      </c>
      <c r="O30" s="8">
        <v>118</v>
      </c>
      <c r="P30" s="8">
        <v>127</v>
      </c>
      <c r="Q30" s="8">
        <v>112</v>
      </c>
      <c r="R30" s="8">
        <v>109</v>
      </c>
    </row>
    <row r="31" spans="1:18" x14ac:dyDescent="0.35">
      <c r="A31" s="8">
        <v>26</v>
      </c>
      <c r="B31" s="8" t="s">
        <v>47</v>
      </c>
      <c r="C31" s="8">
        <v>117</v>
      </c>
      <c r="D31" s="8">
        <v>118</v>
      </c>
      <c r="E31" s="8">
        <v>134</v>
      </c>
      <c r="F31" s="8">
        <v>112</v>
      </c>
      <c r="G31" s="8">
        <v>133</v>
      </c>
      <c r="H31" s="8">
        <v>118</v>
      </c>
      <c r="I31" s="8">
        <v>134</v>
      </c>
      <c r="J31" s="8">
        <v>117</v>
      </c>
      <c r="K31" s="8">
        <v>118</v>
      </c>
      <c r="L31" s="8">
        <v>134</v>
      </c>
      <c r="M31" s="8">
        <v>112</v>
      </c>
      <c r="N31" s="8">
        <v>133</v>
      </c>
      <c r="O31" s="8">
        <v>118</v>
      </c>
      <c r="P31" s="8">
        <v>134</v>
      </c>
      <c r="Q31" s="8">
        <v>109</v>
      </c>
      <c r="R31" s="8">
        <v>109</v>
      </c>
    </row>
    <row r="32" spans="1:18" x14ac:dyDescent="0.35">
      <c r="A32" s="8">
        <v>27</v>
      </c>
      <c r="B32" s="8" t="s">
        <v>48</v>
      </c>
      <c r="C32" s="8">
        <v>118</v>
      </c>
      <c r="D32" s="8">
        <v>129</v>
      </c>
      <c r="E32" s="8">
        <v>126</v>
      </c>
      <c r="F32" s="8">
        <v>110</v>
      </c>
      <c r="G32" s="8">
        <v>139</v>
      </c>
      <c r="H32" s="8">
        <v>122</v>
      </c>
      <c r="I32" s="8">
        <v>138</v>
      </c>
      <c r="J32" s="8">
        <v>118</v>
      </c>
      <c r="K32" s="8">
        <v>129</v>
      </c>
      <c r="L32" s="8">
        <v>126</v>
      </c>
      <c r="M32" s="8">
        <v>110</v>
      </c>
      <c r="N32" s="8">
        <v>139</v>
      </c>
      <c r="O32" s="8">
        <v>122</v>
      </c>
      <c r="P32" s="8">
        <v>138</v>
      </c>
      <c r="Q32" s="8">
        <v>119</v>
      </c>
      <c r="R32" s="8">
        <v>113</v>
      </c>
    </row>
    <row r="33" spans="1:18" x14ac:dyDescent="0.35">
      <c r="A33" s="8">
        <v>28</v>
      </c>
      <c r="B33" s="8" t="s">
        <v>49</v>
      </c>
      <c r="C33" s="8">
        <v>115</v>
      </c>
      <c r="D33" s="8">
        <v>118</v>
      </c>
      <c r="E33" s="8">
        <v>118</v>
      </c>
      <c r="F33" s="8">
        <v>118</v>
      </c>
      <c r="G33" s="8">
        <v>129</v>
      </c>
      <c r="H33" s="8">
        <v>129</v>
      </c>
      <c r="I33" s="8">
        <v>135</v>
      </c>
      <c r="J33" s="8">
        <v>115</v>
      </c>
      <c r="K33" s="8">
        <v>118</v>
      </c>
      <c r="L33" s="8">
        <v>118</v>
      </c>
      <c r="M33" s="8">
        <v>118</v>
      </c>
      <c r="N33" s="8">
        <v>129</v>
      </c>
      <c r="O33" s="8">
        <v>129</v>
      </c>
      <c r="P33" s="8">
        <v>135</v>
      </c>
      <c r="Q33" s="8">
        <v>125</v>
      </c>
      <c r="R33" s="8">
        <v>113</v>
      </c>
    </row>
    <row r="34" spans="1:18" x14ac:dyDescent="0.35">
      <c r="A34" s="8">
        <v>29</v>
      </c>
      <c r="B34" s="8" t="s">
        <v>50</v>
      </c>
      <c r="C34" s="8">
        <v>120</v>
      </c>
      <c r="D34" s="8">
        <v>135</v>
      </c>
      <c r="E34" s="8">
        <v>124</v>
      </c>
      <c r="F34" s="8">
        <v>127</v>
      </c>
      <c r="G34" s="8">
        <v>124</v>
      </c>
      <c r="H34" s="8">
        <v>123</v>
      </c>
      <c r="I34" s="8">
        <v>136</v>
      </c>
      <c r="J34" s="8">
        <v>120</v>
      </c>
      <c r="K34" s="8">
        <v>135</v>
      </c>
      <c r="L34" s="8">
        <v>124</v>
      </c>
      <c r="M34" s="8">
        <v>127</v>
      </c>
      <c r="N34" s="8">
        <v>124</v>
      </c>
      <c r="O34" s="8">
        <v>123</v>
      </c>
      <c r="P34" s="8">
        <v>136</v>
      </c>
      <c r="Q34" s="8">
        <v>125</v>
      </c>
      <c r="R34" s="8">
        <v>113</v>
      </c>
    </row>
    <row r="35" spans="1:18" x14ac:dyDescent="0.35">
      <c r="A35" s="8">
        <v>30</v>
      </c>
      <c r="B35" s="8" t="s">
        <v>51</v>
      </c>
      <c r="C35" s="8">
        <v>117</v>
      </c>
      <c r="D35" s="8">
        <v>132</v>
      </c>
      <c r="E35" s="8">
        <v>118</v>
      </c>
      <c r="F35" s="8">
        <v>135</v>
      </c>
      <c r="G35" s="8">
        <v>129</v>
      </c>
      <c r="H35" s="8">
        <v>129</v>
      </c>
      <c r="I35" s="8">
        <v>126</v>
      </c>
      <c r="J35" s="8">
        <v>117</v>
      </c>
      <c r="K35" s="8">
        <v>132</v>
      </c>
      <c r="L35" s="8">
        <v>118</v>
      </c>
      <c r="M35" s="8">
        <v>135</v>
      </c>
      <c r="N35" s="8">
        <v>129</v>
      </c>
      <c r="O35" s="8">
        <v>129</v>
      </c>
      <c r="P35" s="8">
        <v>126</v>
      </c>
      <c r="Q35" s="8">
        <v>121</v>
      </c>
      <c r="R35" s="8">
        <v>116</v>
      </c>
    </row>
    <row r="36" spans="1:18" x14ac:dyDescent="0.35">
      <c r="A36" s="8">
        <v>31</v>
      </c>
      <c r="B36" s="8" t="s">
        <v>52</v>
      </c>
      <c r="C36" s="8">
        <v>117</v>
      </c>
      <c r="D36" s="8">
        <v>126</v>
      </c>
      <c r="E36" s="8">
        <v>123</v>
      </c>
      <c r="F36" s="8">
        <v>134</v>
      </c>
      <c r="G36" s="8">
        <v>131</v>
      </c>
      <c r="H36" s="8">
        <v>128</v>
      </c>
      <c r="I36" s="8">
        <v>120</v>
      </c>
      <c r="J36" s="8">
        <v>117</v>
      </c>
      <c r="K36" s="8">
        <v>126</v>
      </c>
      <c r="L36" s="8">
        <v>123</v>
      </c>
      <c r="M36" s="8">
        <v>134</v>
      </c>
      <c r="N36" s="8">
        <v>131</v>
      </c>
      <c r="O36" s="8">
        <v>128</v>
      </c>
      <c r="P36" s="8">
        <v>120</v>
      </c>
      <c r="Q36" s="8">
        <v>131</v>
      </c>
      <c r="R36" s="8">
        <v>110</v>
      </c>
    </row>
    <row r="37" spans="1:18" x14ac:dyDescent="0.35">
      <c r="A37" s="8">
        <v>32</v>
      </c>
      <c r="B37" s="8" t="s">
        <v>53</v>
      </c>
      <c r="C37" s="8">
        <v>119</v>
      </c>
      <c r="D37" s="8">
        <v>133</v>
      </c>
      <c r="E37" s="8">
        <v>123</v>
      </c>
      <c r="F37" s="8">
        <v>135</v>
      </c>
      <c r="G37" s="8">
        <v>131</v>
      </c>
      <c r="H37" s="8">
        <v>133</v>
      </c>
      <c r="I37" s="8">
        <v>118</v>
      </c>
      <c r="J37" s="8">
        <v>119</v>
      </c>
      <c r="K37" s="8">
        <v>133</v>
      </c>
      <c r="L37" s="8">
        <v>123</v>
      </c>
      <c r="M37" s="8">
        <v>135</v>
      </c>
      <c r="N37" s="8">
        <v>131</v>
      </c>
      <c r="O37" s="8">
        <v>133</v>
      </c>
      <c r="P37" s="8">
        <v>118</v>
      </c>
      <c r="Q37" s="8">
        <v>122</v>
      </c>
      <c r="R37" s="8">
        <v>112</v>
      </c>
    </row>
    <row r="38" spans="1:18" x14ac:dyDescent="0.35">
      <c r="A38" s="8">
        <v>33</v>
      </c>
      <c r="B38" s="8" t="s">
        <v>54</v>
      </c>
      <c r="C38" s="8">
        <v>111</v>
      </c>
      <c r="D38" s="8">
        <v>124</v>
      </c>
      <c r="E38" s="8">
        <v>122</v>
      </c>
      <c r="F38" s="8">
        <v>127</v>
      </c>
      <c r="G38" s="8">
        <v>143</v>
      </c>
      <c r="H38" s="8">
        <v>134</v>
      </c>
      <c r="I38" s="8">
        <v>115</v>
      </c>
      <c r="J38" s="8">
        <v>111</v>
      </c>
      <c r="K38" s="8">
        <v>124</v>
      </c>
      <c r="L38" s="8">
        <v>122</v>
      </c>
      <c r="M38" s="8">
        <v>127</v>
      </c>
      <c r="N38" s="8">
        <v>143</v>
      </c>
      <c r="O38" s="8">
        <v>134</v>
      </c>
      <c r="P38" s="8">
        <v>115</v>
      </c>
      <c r="Q38" s="8">
        <v>130</v>
      </c>
      <c r="R38" s="8">
        <v>117</v>
      </c>
    </row>
    <row r="39" spans="1:18" x14ac:dyDescent="0.35">
      <c r="A39" s="8">
        <v>34</v>
      </c>
      <c r="B39" s="8" t="s">
        <v>55</v>
      </c>
      <c r="C39" s="8">
        <v>116</v>
      </c>
      <c r="D39" s="8">
        <v>132</v>
      </c>
      <c r="E39" s="8">
        <v>123</v>
      </c>
      <c r="F39" s="8">
        <v>112</v>
      </c>
      <c r="G39" s="8">
        <v>134</v>
      </c>
      <c r="H39" s="8">
        <v>127</v>
      </c>
      <c r="I39" s="8">
        <v>115</v>
      </c>
      <c r="J39" s="8">
        <v>116</v>
      </c>
      <c r="K39" s="8">
        <v>132</v>
      </c>
      <c r="L39" s="8">
        <v>123</v>
      </c>
      <c r="M39" s="8">
        <v>112</v>
      </c>
      <c r="N39" s="8">
        <v>134</v>
      </c>
      <c r="O39" s="8">
        <v>127</v>
      </c>
      <c r="P39" s="8">
        <v>115</v>
      </c>
      <c r="Q39" s="8">
        <v>134</v>
      </c>
      <c r="R39" s="8">
        <v>115</v>
      </c>
    </row>
    <row r="40" spans="1:18" x14ac:dyDescent="0.35">
      <c r="A40" s="8">
        <v>35</v>
      </c>
      <c r="B40" s="8" t="s">
        <v>56</v>
      </c>
      <c r="C40" s="8">
        <v>116</v>
      </c>
      <c r="D40" s="8">
        <v>124</v>
      </c>
      <c r="E40" s="8">
        <v>118</v>
      </c>
      <c r="F40" s="8">
        <v>121</v>
      </c>
      <c r="G40" s="8">
        <v>134</v>
      </c>
      <c r="H40" s="8">
        <v>127</v>
      </c>
      <c r="I40" s="8">
        <v>116</v>
      </c>
      <c r="J40" s="8">
        <v>116</v>
      </c>
      <c r="K40" s="8">
        <v>124</v>
      </c>
      <c r="L40" s="8">
        <v>118</v>
      </c>
      <c r="M40" s="8">
        <v>121</v>
      </c>
      <c r="N40" s="8">
        <v>134</v>
      </c>
      <c r="O40" s="8">
        <v>127</v>
      </c>
      <c r="P40" s="8">
        <v>116</v>
      </c>
      <c r="Q40" s="8">
        <v>135</v>
      </c>
      <c r="R40" s="8">
        <v>123</v>
      </c>
    </row>
    <row r="41" spans="1:18" x14ac:dyDescent="0.35">
      <c r="A41" s="8">
        <v>36</v>
      </c>
      <c r="B41" s="8" t="s">
        <v>57</v>
      </c>
      <c r="C41" s="8">
        <v>115</v>
      </c>
      <c r="D41" s="8">
        <v>121</v>
      </c>
      <c r="E41" s="8">
        <v>115</v>
      </c>
      <c r="F41" s="8">
        <v>111</v>
      </c>
      <c r="G41" s="8">
        <v>132</v>
      </c>
      <c r="H41" s="8">
        <v>116</v>
      </c>
      <c r="I41" s="8">
        <v>115</v>
      </c>
      <c r="J41" s="8">
        <v>115</v>
      </c>
      <c r="K41" s="8">
        <v>121</v>
      </c>
      <c r="L41" s="8">
        <v>115</v>
      </c>
      <c r="M41" s="8">
        <v>111</v>
      </c>
      <c r="N41" s="8">
        <v>132</v>
      </c>
      <c r="O41" s="8">
        <v>116</v>
      </c>
      <c r="P41" s="8">
        <v>115</v>
      </c>
      <c r="Q41" s="8">
        <v>142</v>
      </c>
      <c r="R41" s="8">
        <v>124</v>
      </c>
    </row>
    <row r="42" spans="1:18" x14ac:dyDescent="0.35">
      <c r="A42" s="8">
        <v>37</v>
      </c>
      <c r="B42" s="8" t="s">
        <v>58</v>
      </c>
      <c r="C42" s="8">
        <v>111</v>
      </c>
      <c r="D42" s="8">
        <v>114</v>
      </c>
      <c r="E42" s="8">
        <v>112</v>
      </c>
      <c r="F42" s="8">
        <v>113</v>
      </c>
      <c r="G42" s="8">
        <v>111</v>
      </c>
      <c r="H42" s="8">
        <v>118</v>
      </c>
      <c r="I42" s="8">
        <v>112</v>
      </c>
      <c r="J42" s="8">
        <v>111</v>
      </c>
      <c r="K42" s="8">
        <v>114</v>
      </c>
      <c r="L42" s="8">
        <v>112</v>
      </c>
      <c r="M42" s="8">
        <v>113</v>
      </c>
      <c r="N42" s="8">
        <v>111</v>
      </c>
      <c r="O42" s="8">
        <v>118</v>
      </c>
      <c r="P42" s="8">
        <v>112</v>
      </c>
      <c r="Q42" s="8">
        <v>132</v>
      </c>
      <c r="R42" s="8">
        <v>127</v>
      </c>
    </row>
    <row r="43" spans="1:18" x14ac:dyDescent="0.35">
      <c r="A43" s="8">
        <v>38</v>
      </c>
      <c r="B43" s="8" t="s">
        <v>59</v>
      </c>
      <c r="C43" s="8">
        <v>110</v>
      </c>
      <c r="D43" s="8">
        <v>109</v>
      </c>
      <c r="E43" s="8">
        <v>110</v>
      </c>
      <c r="F43" s="8">
        <v>119</v>
      </c>
      <c r="G43" s="8">
        <v>114</v>
      </c>
      <c r="H43" s="8">
        <v>119</v>
      </c>
      <c r="I43" s="8">
        <v>113</v>
      </c>
      <c r="J43" s="8">
        <v>110</v>
      </c>
      <c r="K43" s="8">
        <v>109</v>
      </c>
      <c r="L43" s="8">
        <v>110</v>
      </c>
      <c r="M43" s="8">
        <v>119</v>
      </c>
      <c r="N43" s="8">
        <v>114</v>
      </c>
      <c r="O43" s="8">
        <v>119</v>
      </c>
      <c r="P43" s="8">
        <v>113</v>
      </c>
      <c r="Q43" s="8">
        <v>133</v>
      </c>
      <c r="R43" s="8">
        <v>133</v>
      </c>
    </row>
    <row r="44" spans="1:18" x14ac:dyDescent="0.35">
      <c r="A44" s="8">
        <v>39</v>
      </c>
      <c r="B44" s="8" t="s">
        <v>60</v>
      </c>
      <c r="C44" s="8">
        <v>113</v>
      </c>
      <c r="D44" s="8">
        <v>115</v>
      </c>
      <c r="E44" s="8">
        <v>105</v>
      </c>
      <c r="F44" s="8">
        <v>110</v>
      </c>
      <c r="G44" s="8">
        <v>106</v>
      </c>
      <c r="H44" s="8">
        <v>124</v>
      </c>
      <c r="I44" s="8">
        <v>113</v>
      </c>
      <c r="J44" s="8">
        <v>113</v>
      </c>
      <c r="K44" s="8">
        <v>115</v>
      </c>
      <c r="L44" s="8">
        <v>105</v>
      </c>
      <c r="M44" s="8">
        <v>110</v>
      </c>
      <c r="N44" s="8">
        <v>106</v>
      </c>
      <c r="O44" s="8">
        <v>124</v>
      </c>
      <c r="P44" s="8">
        <v>113</v>
      </c>
      <c r="Q44" s="8">
        <v>127</v>
      </c>
      <c r="R44" s="8">
        <v>133</v>
      </c>
    </row>
    <row r="45" spans="1:18" x14ac:dyDescent="0.35">
      <c r="A45" s="8">
        <v>40</v>
      </c>
      <c r="B45" s="8" t="s">
        <v>61</v>
      </c>
      <c r="C45" s="8">
        <v>119</v>
      </c>
      <c r="D45" s="8">
        <v>122</v>
      </c>
      <c r="E45" s="8">
        <v>106</v>
      </c>
      <c r="F45" s="8">
        <v>107</v>
      </c>
      <c r="G45" s="8">
        <v>107</v>
      </c>
      <c r="H45" s="8">
        <v>121</v>
      </c>
      <c r="I45" s="8">
        <v>111</v>
      </c>
      <c r="J45" s="8">
        <v>119</v>
      </c>
      <c r="K45" s="8">
        <v>122</v>
      </c>
      <c r="L45" s="8">
        <v>106</v>
      </c>
      <c r="M45" s="8">
        <v>107</v>
      </c>
      <c r="N45" s="8">
        <v>107</v>
      </c>
      <c r="O45" s="8">
        <v>121</v>
      </c>
      <c r="P45" s="8">
        <v>111</v>
      </c>
      <c r="Q45" s="8">
        <v>124</v>
      </c>
      <c r="R45" s="8">
        <v>132</v>
      </c>
    </row>
    <row r="46" spans="1:18" x14ac:dyDescent="0.35">
      <c r="A46" s="8">
        <v>41</v>
      </c>
      <c r="B46" s="8" t="s">
        <v>62</v>
      </c>
      <c r="C46" s="8">
        <v>116</v>
      </c>
      <c r="D46" s="8">
        <v>121</v>
      </c>
      <c r="E46" s="8">
        <v>109</v>
      </c>
      <c r="F46" s="8">
        <v>91</v>
      </c>
      <c r="G46" s="8">
        <v>118</v>
      </c>
      <c r="H46" s="8">
        <v>107</v>
      </c>
      <c r="I46" s="8">
        <v>118</v>
      </c>
      <c r="J46" s="8">
        <v>116</v>
      </c>
      <c r="K46" s="8">
        <v>121</v>
      </c>
      <c r="L46" s="8">
        <v>109</v>
      </c>
      <c r="M46" s="8">
        <v>91</v>
      </c>
      <c r="N46" s="8">
        <v>118</v>
      </c>
      <c r="O46" s="8">
        <v>107</v>
      </c>
      <c r="P46" s="8">
        <v>118</v>
      </c>
      <c r="Q46" s="8">
        <v>128</v>
      </c>
      <c r="R46" s="8">
        <v>126</v>
      </c>
    </row>
    <row r="47" spans="1:18" x14ac:dyDescent="0.35">
      <c r="A47" s="8">
        <v>42</v>
      </c>
      <c r="B47" s="8" t="s">
        <v>63</v>
      </c>
      <c r="C47" s="8">
        <v>124</v>
      </c>
      <c r="D47" s="8">
        <v>122</v>
      </c>
      <c r="E47" s="8">
        <v>106</v>
      </c>
      <c r="F47" s="8">
        <v>87</v>
      </c>
      <c r="G47" s="8">
        <v>124</v>
      </c>
      <c r="H47" s="8">
        <v>99</v>
      </c>
      <c r="I47" s="8">
        <v>119</v>
      </c>
      <c r="J47" s="8">
        <v>124</v>
      </c>
      <c r="K47" s="8">
        <v>122</v>
      </c>
      <c r="L47" s="8">
        <v>106</v>
      </c>
      <c r="M47" s="8">
        <v>87</v>
      </c>
      <c r="N47" s="8">
        <v>124</v>
      </c>
      <c r="O47" s="8">
        <v>99</v>
      </c>
      <c r="P47" s="8">
        <v>119</v>
      </c>
      <c r="Q47" s="8">
        <v>117</v>
      </c>
      <c r="R47" s="8">
        <v>130</v>
      </c>
    </row>
    <row r="48" spans="1:18" x14ac:dyDescent="0.35">
      <c r="A48" s="8">
        <v>43</v>
      </c>
      <c r="B48" s="8" t="s">
        <v>64</v>
      </c>
      <c r="C48" s="8">
        <v>122</v>
      </c>
      <c r="D48" s="8">
        <v>119</v>
      </c>
      <c r="E48" s="8">
        <v>107</v>
      </c>
      <c r="F48" s="8">
        <v>87</v>
      </c>
      <c r="G48" s="8">
        <v>132</v>
      </c>
      <c r="H48" s="8">
        <v>86</v>
      </c>
      <c r="I48" s="8">
        <v>133</v>
      </c>
      <c r="J48" s="8">
        <v>122</v>
      </c>
      <c r="K48" s="8">
        <v>119</v>
      </c>
      <c r="L48" s="8">
        <v>107</v>
      </c>
      <c r="M48" s="8">
        <v>87</v>
      </c>
      <c r="N48" s="8">
        <v>132</v>
      </c>
      <c r="O48" s="8">
        <v>86</v>
      </c>
      <c r="P48" s="8">
        <v>133</v>
      </c>
      <c r="Q48" s="8">
        <v>110</v>
      </c>
      <c r="R48" s="8">
        <v>131</v>
      </c>
    </row>
    <row r="49" spans="1:18" x14ac:dyDescent="0.35">
      <c r="A49" s="8">
        <v>44</v>
      </c>
      <c r="B49" s="8" t="s">
        <v>65</v>
      </c>
      <c r="C49" s="8">
        <v>119</v>
      </c>
      <c r="D49" s="8">
        <v>111</v>
      </c>
      <c r="E49" s="8">
        <v>114</v>
      </c>
      <c r="F49" s="8">
        <v>94</v>
      </c>
      <c r="G49" s="8">
        <v>126</v>
      </c>
      <c r="H49" s="8">
        <v>81</v>
      </c>
      <c r="I49" s="8">
        <v>136</v>
      </c>
      <c r="J49" s="8">
        <v>119</v>
      </c>
      <c r="K49" s="8">
        <v>111</v>
      </c>
      <c r="L49" s="8">
        <v>114</v>
      </c>
      <c r="M49" s="8">
        <v>94</v>
      </c>
      <c r="N49" s="8">
        <v>126</v>
      </c>
      <c r="O49" s="8">
        <v>81</v>
      </c>
      <c r="P49" s="8">
        <v>136</v>
      </c>
      <c r="Q49" s="8">
        <v>116</v>
      </c>
      <c r="R49" s="8">
        <v>127</v>
      </c>
    </row>
    <row r="50" spans="1:18" x14ac:dyDescent="0.35">
      <c r="A50" s="8">
        <v>45</v>
      </c>
      <c r="B50" s="8" t="s">
        <v>66</v>
      </c>
      <c r="C50" s="8">
        <v>126</v>
      </c>
      <c r="D50" s="8">
        <v>120</v>
      </c>
      <c r="E50" s="8">
        <v>105</v>
      </c>
      <c r="F50" s="8">
        <v>102</v>
      </c>
      <c r="G50" s="8">
        <v>126</v>
      </c>
      <c r="H50" s="8">
        <v>87</v>
      </c>
      <c r="I50" s="8">
        <v>130</v>
      </c>
      <c r="J50" s="8">
        <v>126</v>
      </c>
      <c r="K50" s="8">
        <v>120</v>
      </c>
      <c r="L50" s="8">
        <v>105</v>
      </c>
      <c r="M50" s="8">
        <v>102</v>
      </c>
      <c r="N50" s="8">
        <v>126</v>
      </c>
      <c r="O50" s="8">
        <v>87</v>
      </c>
      <c r="P50" s="8">
        <v>130</v>
      </c>
      <c r="Q50" s="8">
        <v>122</v>
      </c>
      <c r="R50" s="8">
        <v>122</v>
      </c>
    </row>
    <row r="51" spans="1:18" x14ac:dyDescent="0.35">
      <c r="A51" s="8">
        <v>46</v>
      </c>
      <c r="B51" s="8" t="s">
        <v>67</v>
      </c>
      <c r="C51" s="8">
        <v>107</v>
      </c>
      <c r="D51" s="8">
        <v>109</v>
      </c>
      <c r="E51" s="8">
        <v>117</v>
      </c>
      <c r="F51" s="8">
        <v>107</v>
      </c>
      <c r="G51" s="8">
        <v>122</v>
      </c>
      <c r="H51" s="8">
        <v>95</v>
      </c>
      <c r="I51" s="8">
        <v>129</v>
      </c>
      <c r="J51" s="8">
        <v>107</v>
      </c>
      <c r="K51" s="8">
        <v>109</v>
      </c>
      <c r="L51" s="8">
        <v>117</v>
      </c>
      <c r="M51" s="8">
        <v>107</v>
      </c>
      <c r="N51" s="8">
        <v>122</v>
      </c>
      <c r="O51" s="8">
        <v>95</v>
      </c>
      <c r="P51" s="8">
        <v>129</v>
      </c>
      <c r="Q51" s="8">
        <v>135</v>
      </c>
      <c r="R51" s="8">
        <v>116</v>
      </c>
    </row>
    <row r="52" spans="1:18" x14ac:dyDescent="0.35">
      <c r="A52" s="8">
        <v>47</v>
      </c>
      <c r="B52" s="8" t="s">
        <v>68</v>
      </c>
      <c r="C52" s="8">
        <v>110</v>
      </c>
      <c r="D52" s="8">
        <v>106</v>
      </c>
      <c r="E52" s="8">
        <v>116</v>
      </c>
      <c r="F52" s="8">
        <v>120</v>
      </c>
      <c r="G52" s="8">
        <v>118</v>
      </c>
      <c r="H52" s="8">
        <v>99</v>
      </c>
      <c r="I52" s="8">
        <v>120</v>
      </c>
      <c r="J52" s="8">
        <v>110</v>
      </c>
      <c r="K52" s="8">
        <v>106</v>
      </c>
      <c r="L52" s="8">
        <v>116</v>
      </c>
      <c r="M52" s="8">
        <v>120</v>
      </c>
      <c r="N52" s="8">
        <v>118</v>
      </c>
      <c r="O52" s="8">
        <v>99</v>
      </c>
      <c r="P52" s="8">
        <v>120</v>
      </c>
      <c r="Q52" s="8">
        <v>138</v>
      </c>
      <c r="R52" s="8">
        <v>116</v>
      </c>
    </row>
    <row r="53" spans="1:18" x14ac:dyDescent="0.35">
      <c r="A53" s="8">
        <v>48</v>
      </c>
      <c r="B53" s="8" t="s">
        <v>69</v>
      </c>
      <c r="C53" s="8">
        <v>118</v>
      </c>
      <c r="D53" s="8">
        <v>104</v>
      </c>
      <c r="E53" s="8">
        <v>109</v>
      </c>
      <c r="F53" s="8">
        <v>122</v>
      </c>
      <c r="G53" s="8">
        <v>124</v>
      </c>
      <c r="H53" s="8">
        <v>107</v>
      </c>
      <c r="I53" s="8">
        <v>111</v>
      </c>
      <c r="J53" s="8">
        <v>118</v>
      </c>
      <c r="K53" s="8">
        <v>104</v>
      </c>
      <c r="L53" s="8">
        <v>109</v>
      </c>
      <c r="M53" s="8">
        <v>122</v>
      </c>
      <c r="N53" s="8">
        <v>124</v>
      </c>
      <c r="O53" s="8">
        <v>107</v>
      </c>
      <c r="P53" s="8">
        <v>111</v>
      </c>
      <c r="Q53" s="8">
        <v>139</v>
      </c>
      <c r="R53" s="8">
        <v>119</v>
      </c>
    </row>
    <row r="54" spans="1:18" x14ac:dyDescent="0.35">
      <c r="A54" s="8">
        <v>49</v>
      </c>
      <c r="B54" s="8" t="s">
        <v>70</v>
      </c>
      <c r="C54" s="8">
        <v>118</v>
      </c>
      <c r="D54" s="8">
        <v>93</v>
      </c>
      <c r="E54" s="8">
        <v>113</v>
      </c>
      <c r="F54" s="8">
        <v>130</v>
      </c>
      <c r="G54" s="8">
        <v>124</v>
      </c>
      <c r="H54" s="8">
        <v>111</v>
      </c>
      <c r="I54" s="8">
        <v>120</v>
      </c>
      <c r="J54" s="8">
        <v>118</v>
      </c>
      <c r="K54" s="8">
        <v>93</v>
      </c>
      <c r="L54" s="8">
        <v>113</v>
      </c>
      <c r="M54" s="8">
        <v>130</v>
      </c>
      <c r="N54" s="8">
        <v>124</v>
      </c>
      <c r="O54" s="8">
        <v>111</v>
      </c>
      <c r="P54" s="8">
        <v>120</v>
      </c>
      <c r="Q54" s="8">
        <v>138</v>
      </c>
      <c r="R54" s="8">
        <v>118</v>
      </c>
    </row>
    <row r="55" spans="1:18" x14ac:dyDescent="0.35">
      <c r="A55" s="8">
        <v>50</v>
      </c>
      <c r="B55" s="8" t="s">
        <v>71</v>
      </c>
      <c r="C55" s="8">
        <v>119</v>
      </c>
      <c r="D55" s="8">
        <v>105</v>
      </c>
      <c r="E55" s="8">
        <v>100</v>
      </c>
      <c r="F55" s="8">
        <v>138</v>
      </c>
      <c r="G55" s="8">
        <v>111</v>
      </c>
      <c r="H55" s="8">
        <v>123</v>
      </c>
      <c r="I55" s="8">
        <v>128</v>
      </c>
      <c r="J55" s="8">
        <v>119</v>
      </c>
      <c r="K55" s="8">
        <v>105</v>
      </c>
      <c r="L55" s="8">
        <v>100</v>
      </c>
      <c r="M55" s="8">
        <v>138</v>
      </c>
      <c r="N55" s="8">
        <v>111</v>
      </c>
      <c r="O55" s="8">
        <v>123</v>
      </c>
      <c r="P55" s="8">
        <v>128</v>
      </c>
      <c r="Q55" s="8">
        <v>128</v>
      </c>
      <c r="R55" s="8">
        <v>119</v>
      </c>
    </row>
    <row r="56" spans="1:18" x14ac:dyDescent="0.35">
      <c r="A56" s="8">
        <v>51</v>
      </c>
      <c r="B56" s="8" t="s">
        <v>72</v>
      </c>
      <c r="C56" s="8">
        <v>116</v>
      </c>
      <c r="D56" s="8">
        <v>113</v>
      </c>
      <c r="E56" s="8">
        <v>104</v>
      </c>
      <c r="F56" s="8">
        <v>124</v>
      </c>
      <c r="G56" s="8">
        <v>106</v>
      </c>
      <c r="H56" s="8">
        <v>139</v>
      </c>
      <c r="I56" s="8">
        <v>124</v>
      </c>
      <c r="J56" s="8">
        <v>116</v>
      </c>
      <c r="K56" s="8">
        <v>113</v>
      </c>
      <c r="L56" s="8">
        <v>104</v>
      </c>
      <c r="M56" s="8">
        <v>124</v>
      </c>
      <c r="N56" s="8">
        <v>106</v>
      </c>
      <c r="O56" s="8">
        <v>139</v>
      </c>
      <c r="P56" s="8">
        <v>124</v>
      </c>
      <c r="Q56" s="8">
        <v>128</v>
      </c>
      <c r="R56" s="8">
        <v>126</v>
      </c>
    </row>
    <row r="57" spans="1:18" x14ac:dyDescent="0.35">
      <c r="A57" s="8">
        <v>52</v>
      </c>
      <c r="B57" s="8" t="s">
        <v>73</v>
      </c>
      <c r="C57" s="8">
        <v>109</v>
      </c>
      <c r="D57" s="8">
        <v>104</v>
      </c>
      <c r="E57" s="8">
        <v>111</v>
      </c>
      <c r="F57" s="8">
        <v>125</v>
      </c>
      <c r="G57" s="8">
        <v>95</v>
      </c>
      <c r="H57" s="8">
        <v>145</v>
      </c>
      <c r="I57" s="8">
        <v>132</v>
      </c>
      <c r="J57" s="8">
        <v>109</v>
      </c>
      <c r="K57" s="8">
        <v>104</v>
      </c>
      <c r="L57" s="8">
        <v>111</v>
      </c>
      <c r="M57" s="8">
        <v>125</v>
      </c>
      <c r="N57" s="8">
        <v>95</v>
      </c>
      <c r="O57" s="8">
        <v>145</v>
      </c>
      <c r="P57" s="8">
        <v>132</v>
      </c>
      <c r="Q57" s="8">
        <v>115</v>
      </c>
      <c r="R57" s="8">
        <v>120</v>
      </c>
    </row>
    <row r="58" spans="1:18" x14ac:dyDescent="0.35">
      <c r="A58" s="8">
        <v>53</v>
      </c>
      <c r="B58" s="8" t="s">
        <v>74</v>
      </c>
      <c r="C58" s="8">
        <v>108</v>
      </c>
      <c r="D58" s="8">
        <v>106</v>
      </c>
      <c r="E58" s="8">
        <v>119</v>
      </c>
      <c r="F58" s="8">
        <v>116</v>
      </c>
      <c r="G58" s="8">
        <v>98</v>
      </c>
      <c r="H58" s="8">
        <v>152</v>
      </c>
      <c r="I58" s="8">
        <v>117</v>
      </c>
      <c r="J58" s="8">
        <v>108</v>
      </c>
      <c r="K58" s="8">
        <v>106</v>
      </c>
      <c r="L58" s="8">
        <v>119</v>
      </c>
      <c r="M58" s="8">
        <v>116</v>
      </c>
      <c r="N58" s="8">
        <v>98</v>
      </c>
      <c r="O58" s="8">
        <v>152</v>
      </c>
      <c r="P58" s="8">
        <v>117</v>
      </c>
      <c r="Q58" s="8">
        <v>118</v>
      </c>
      <c r="R58" s="8">
        <v>126</v>
      </c>
    </row>
    <row r="59" spans="1:18" x14ac:dyDescent="0.35">
      <c r="A59" s="8">
        <v>54</v>
      </c>
      <c r="B59" s="8" t="s">
        <v>75</v>
      </c>
      <c r="C59" s="8">
        <v>120</v>
      </c>
      <c r="D59" s="8">
        <v>105</v>
      </c>
      <c r="E59" s="8">
        <v>118</v>
      </c>
      <c r="F59" s="8">
        <v>106</v>
      </c>
      <c r="G59" s="8">
        <v>113</v>
      </c>
      <c r="H59" s="8">
        <v>146</v>
      </c>
      <c r="I59" s="8">
        <v>108</v>
      </c>
      <c r="J59" s="8">
        <v>120</v>
      </c>
      <c r="K59" s="8">
        <v>105</v>
      </c>
      <c r="L59" s="8">
        <v>118</v>
      </c>
      <c r="M59" s="8">
        <v>106</v>
      </c>
      <c r="N59" s="8">
        <v>113</v>
      </c>
      <c r="O59" s="8">
        <v>146</v>
      </c>
      <c r="P59" s="8">
        <v>108</v>
      </c>
      <c r="Q59" s="8">
        <v>113</v>
      </c>
      <c r="R59" s="8">
        <v>129</v>
      </c>
    </row>
    <row r="60" spans="1:18" x14ac:dyDescent="0.35">
      <c r="A60" s="8">
        <v>55</v>
      </c>
      <c r="B60" s="8" t="s">
        <v>76</v>
      </c>
      <c r="C60" s="8">
        <v>124</v>
      </c>
      <c r="D60" s="8">
        <v>101</v>
      </c>
      <c r="E60" s="8">
        <v>120</v>
      </c>
      <c r="F60" s="8">
        <v>110</v>
      </c>
      <c r="G60" s="8">
        <v>116</v>
      </c>
      <c r="H60" s="8">
        <v>133</v>
      </c>
      <c r="I60" s="8">
        <v>115</v>
      </c>
      <c r="J60" s="8">
        <v>124</v>
      </c>
      <c r="K60" s="8">
        <v>101</v>
      </c>
      <c r="L60" s="8">
        <v>120</v>
      </c>
      <c r="M60" s="8">
        <v>110</v>
      </c>
      <c r="N60" s="8">
        <v>116</v>
      </c>
      <c r="O60" s="8">
        <v>133</v>
      </c>
      <c r="P60" s="8">
        <v>115</v>
      </c>
      <c r="Q60" s="8">
        <v>118</v>
      </c>
      <c r="R60" s="8">
        <v>116</v>
      </c>
    </row>
    <row r="61" spans="1:18" x14ac:dyDescent="0.35">
      <c r="A61" s="8">
        <v>56</v>
      </c>
      <c r="B61" s="8" t="s">
        <v>77</v>
      </c>
      <c r="C61" s="8">
        <v>119</v>
      </c>
      <c r="D61" s="8">
        <v>113</v>
      </c>
      <c r="E61" s="8">
        <v>107</v>
      </c>
      <c r="F61" s="8">
        <v>114</v>
      </c>
      <c r="G61" s="8">
        <v>117</v>
      </c>
      <c r="H61" s="8">
        <v>136</v>
      </c>
      <c r="I61" s="8">
        <v>114</v>
      </c>
      <c r="J61" s="8">
        <v>119</v>
      </c>
      <c r="K61" s="8">
        <v>113</v>
      </c>
      <c r="L61" s="8">
        <v>107</v>
      </c>
      <c r="M61" s="8">
        <v>114</v>
      </c>
      <c r="N61" s="8">
        <v>117</v>
      </c>
      <c r="O61" s="8">
        <v>136</v>
      </c>
      <c r="P61" s="8">
        <v>114</v>
      </c>
      <c r="Q61" s="8">
        <v>122</v>
      </c>
      <c r="R61" s="8">
        <v>125</v>
      </c>
    </row>
    <row r="62" spans="1:18" x14ac:dyDescent="0.35">
      <c r="A62" s="8">
        <v>57</v>
      </c>
      <c r="B62" s="8" t="s">
        <v>78</v>
      </c>
      <c r="C62" s="8">
        <v>119</v>
      </c>
      <c r="D62" s="8">
        <v>116</v>
      </c>
      <c r="E62" s="8">
        <v>106</v>
      </c>
      <c r="F62" s="8">
        <v>119</v>
      </c>
      <c r="G62" s="8">
        <v>112</v>
      </c>
      <c r="H62" s="8">
        <v>134</v>
      </c>
      <c r="I62" s="8">
        <v>118</v>
      </c>
      <c r="J62" s="8">
        <v>119</v>
      </c>
      <c r="K62" s="8">
        <v>116</v>
      </c>
      <c r="L62" s="8">
        <v>106</v>
      </c>
      <c r="M62" s="8">
        <v>119</v>
      </c>
      <c r="N62" s="8">
        <v>112</v>
      </c>
      <c r="O62" s="8">
        <v>134</v>
      </c>
      <c r="P62" s="8">
        <v>118</v>
      </c>
      <c r="Q62" s="8">
        <v>115</v>
      </c>
      <c r="R62" s="8">
        <v>126</v>
      </c>
    </row>
    <row r="63" spans="1:18" x14ac:dyDescent="0.35">
      <c r="A63" s="8">
        <v>58</v>
      </c>
      <c r="B63" s="8" t="s">
        <v>79</v>
      </c>
      <c r="C63" s="8">
        <v>123</v>
      </c>
      <c r="D63" s="8">
        <v>116</v>
      </c>
      <c r="E63" s="8">
        <v>118</v>
      </c>
      <c r="F63" s="8">
        <v>120</v>
      </c>
      <c r="G63" s="8">
        <v>105</v>
      </c>
      <c r="H63" s="8">
        <v>132</v>
      </c>
      <c r="I63" s="8">
        <v>107</v>
      </c>
      <c r="J63" s="8">
        <v>123</v>
      </c>
      <c r="K63" s="8">
        <v>116</v>
      </c>
      <c r="L63" s="8">
        <v>118</v>
      </c>
      <c r="M63" s="8">
        <v>120</v>
      </c>
      <c r="N63" s="8">
        <v>105</v>
      </c>
      <c r="O63" s="8">
        <v>132</v>
      </c>
      <c r="P63" s="8">
        <v>107</v>
      </c>
      <c r="Q63" s="8">
        <v>131</v>
      </c>
      <c r="R63" s="8">
        <v>115</v>
      </c>
    </row>
    <row r="64" spans="1:18" x14ac:dyDescent="0.35">
      <c r="A64" s="8">
        <v>59</v>
      </c>
      <c r="B64" s="8" t="s">
        <v>80</v>
      </c>
      <c r="C64" s="8">
        <v>116</v>
      </c>
      <c r="D64" s="8">
        <v>109</v>
      </c>
      <c r="E64" s="8">
        <v>119</v>
      </c>
      <c r="F64" s="8">
        <v>118</v>
      </c>
      <c r="G64" s="8">
        <v>108</v>
      </c>
      <c r="H64" s="8">
        <v>123</v>
      </c>
      <c r="I64" s="8">
        <v>106</v>
      </c>
      <c r="J64" s="8">
        <v>116</v>
      </c>
      <c r="K64" s="8">
        <v>109</v>
      </c>
      <c r="L64" s="8">
        <v>119</v>
      </c>
      <c r="M64" s="8">
        <v>118</v>
      </c>
      <c r="N64" s="8">
        <v>108</v>
      </c>
      <c r="O64" s="8">
        <v>123</v>
      </c>
      <c r="P64" s="8">
        <v>106</v>
      </c>
      <c r="Q64" s="8">
        <v>126</v>
      </c>
      <c r="R64" s="8">
        <v>117</v>
      </c>
    </row>
    <row r="65" spans="1:18" x14ac:dyDescent="0.35">
      <c r="A65" s="8">
        <v>60</v>
      </c>
      <c r="B65" s="8" t="s">
        <v>81</v>
      </c>
      <c r="C65" s="8">
        <v>122</v>
      </c>
      <c r="D65" s="8">
        <v>108</v>
      </c>
      <c r="E65" s="8">
        <v>120</v>
      </c>
      <c r="F65" s="8">
        <v>111</v>
      </c>
      <c r="G65" s="8">
        <v>120</v>
      </c>
      <c r="H65" s="8">
        <v>121</v>
      </c>
      <c r="I65" s="8">
        <v>115</v>
      </c>
      <c r="J65" s="8">
        <v>122</v>
      </c>
      <c r="K65" s="8">
        <v>108</v>
      </c>
      <c r="L65" s="8">
        <v>120</v>
      </c>
      <c r="M65" s="8">
        <v>111</v>
      </c>
      <c r="N65" s="8">
        <v>120</v>
      </c>
      <c r="O65" s="8">
        <v>121</v>
      </c>
      <c r="P65" s="8">
        <v>115</v>
      </c>
      <c r="Q65" s="8">
        <v>134</v>
      </c>
      <c r="R65" s="8">
        <v>114</v>
      </c>
    </row>
    <row r="66" spans="1:18" x14ac:dyDescent="0.35">
      <c r="A66" s="8">
        <v>61</v>
      </c>
      <c r="B66" s="8" t="s">
        <v>82</v>
      </c>
      <c r="C66" s="8">
        <v>135</v>
      </c>
      <c r="D66" s="8">
        <v>103</v>
      </c>
      <c r="E66" s="8">
        <v>123</v>
      </c>
      <c r="F66" s="8">
        <v>110</v>
      </c>
      <c r="G66" s="8">
        <v>124</v>
      </c>
      <c r="H66" s="8">
        <v>116</v>
      </c>
      <c r="I66" s="8">
        <v>114</v>
      </c>
      <c r="J66" s="8">
        <v>135</v>
      </c>
      <c r="K66" s="8">
        <v>103</v>
      </c>
      <c r="L66" s="8">
        <v>123</v>
      </c>
      <c r="M66" s="8">
        <v>110</v>
      </c>
      <c r="N66" s="8">
        <v>124</v>
      </c>
      <c r="O66" s="8">
        <v>116</v>
      </c>
      <c r="P66" s="8">
        <v>114</v>
      </c>
      <c r="Q66" s="8">
        <v>137</v>
      </c>
      <c r="R66" s="8">
        <v>113</v>
      </c>
    </row>
    <row r="67" spans="1:18" x14ac:dyDescent="0.35">
      <c r="A67" s="8">
        <v>62</v>
      </c>
      <c r="B67" s="8" t="s">
        <v>83</v>
      </c>
      <c r="C67" s="8">
        <v>128</v>
      </c>
      <c r="D67" s="8">
        <v>97</v>
      </c>
      <c r="E67" s="8">
        <v>124</v>
      </c>
      <c r="F67" s="8">
        <v>117</v>
      </c>
      <c r="G67" s="8">
        <v>129</v>
      </c>
      <c r="H67" s="8">
        <v>123</v>
      </c>
      <c r="I67" s="8">
        <v>119</v>
      </c>
      <c r="J67" s="8">
        <v>128</v>
      </c>
      <c r="K67" s="8">
        <v>97</v>
      </c>
      <c r="L67" s="8">
        <v>124</v>
      </c>
      <c r="M67" s="8">
        <v>117</v>
      </c>
      <c r="N67" s="8">
        <v>129</v>
      </c>
      <c r="O67" s="8">
        <v>123</v>
      </c>
      <c r="P67" s="8">
        <v>119</v>
      </c>
      <c r="Q67" s="8">
        <v>133</v>
      </c>
      <c r="R67" s="8">
        <v>123</v>
      </c>
    </row>
    <row r="68" spans="1:18" x14ac:dyDescent="0.35">
      <c r="A68" s="8">
        <v>63</v>
      </c>
      <c r="B68" s="8" t="s">
        <v>84</v>
      </c>
      <c r="C68" s="8">
        <v>126</v>
      </c>
      <c r="D68" s="8">
        <v>106</v>
      </c>
      <c r="E68" s="8">
        <v>120</v>
      </c>
      <c r="F68" s="8">
        <v>114</v>
      </c>
      <c r="G68" s="8">
        <v>120</v>
      </c>
      <c r="H68" s="8">
        <v>133</v>
      </c>
      <c r="I68" s="8">
        <v>113</v>
      </c>
      <c r="J68" s="8">
        <v>126</v>
      </c>
      <c r="K68" s="8">
        <v>106</v>
      </c>
      <c r="L68" s="8">
        <v>120</v>
      </c>
      <c r="M68" s="8">
        <v>114</v>
      </c>
      <c r="N68" s="8">
        <v>120</v>
      </c>
      <c r="O68" s="8">
        <v>133</v>
      </c>
      <c r="P68" s="8">
        <v>113</v>
      </c>
      <c r="Q68" s="8">
        <v>128</v>
      </c>
      <c r="R68" s="8">
        <v>122</v>
      </c>
    </row>
    <row r="69" spans="1:18" x14ac:dyDescent="0.35">
      <c r="A69" s="8">
        <v>64</v>
      </c>
      <c r="B69" s="8" t="s">
        <v>85</v>
      </c>
      <c r="C69" s="8">
        <v>125</v>
      </c>
      <c r="D69" s="8">
        <v>106</v>
      </c>
      <c r="E69" s="8">
        <v>133</v>
      </c>
      <c r="F69" s="8">
        <v>114</v>
      </c>
      <c r="G69" s="8">
        <v>112</v>
      </c>
      <c r="H69" s="8">
        <v>133</v>
      </c>
      <c r="I69" s="8">
        <v>105</v>
      </c>
      <c r="J69" s="8">
        <v>125</v>
      </c>
      <c r="K69" s="8">
        <v>106</v>
      </c>
      <c r="L69" s="8">
        <v>133</v>
      </c>
      <c r="M69" s="8">
        <v>114</v>
      </c>
      <c r="N69" s="8">
        <v>112</v>
      </c>
      <c r="O69" s="8">
        <v>133</v>
      </c>
      <c r="P69" s="8">
        <v>105</v>
      </c>
      <c r="Q69" s="8">
        <v>126</v>
      </c>
      <c r="R69" s="8">
        <v>115</v>
      </c>
    </row>
    <row r="70" spans="1:18" x14ac:dyDescent="0.35">
      <c r="A70" s="8">
        <v>65</v>
      </c>
      <c r="B70" s="8" t="s">
        <v>86</v>
      </c>
      <c r="C70" s="8">
        <v>113</v>
      </c>
      <c r="D70" s="8">
        <v>108</v>
      </c>
      <c r="E70" s="8">
        <v>129</v>
      </c>
      <c r="F70" s="8">
        <v>116</v>
      </c>
      <c r="G70" s="8">
        <v>107</v>
      </c>
      <c r="H70" s="8">
        <v>135</v>
      </c>
      <c r="I70" s="8">
        <v>113</v>
      </c>
      <c r="J70" s="8">
        <v>113</v>
      </c>
      <c r="K70" s="8">
        <v>108</v>
      </c>
      <c r="L70" s="8">
        <v>129</v>
      </c>
      <c r="M70" s="8">
        <v>116</v>
      </c>
      <c r="N70" s="8">
        <v>107</v>
      </c>
      <c r="O70" s="8">
        <v>135</v>
      </c>
      <c r="P70" s="8">
        <v>113</v>
      </c>
      <c r="Q70" s="8">
        <v>126</v>
      </c>
      <c r="R70" s="8">
        <v>113</v>
      </c>
    </row>
    <row r="71" spans="1:18" x14ac:dyDescent="0.35">
      <c r="A71" s="8">
        <v>66</v>
      </c>
      <c r="B71" s="8" t="s">
        <v>87</v>
      </c>
      <c r="C71" s="8">
        <v>124</v>
      </c>
      <c r="D71" s="8">
        <v>107</v>
      </c>
      <c r="E71" s="8">
        <v>131</v>
      </c>
      <c r="F71" s="8">
        <v>112</v>
      </c>
      <c r="G71" s="8">
        <v>108</v>
      </c>
      <c r="H71" s="8">
        <v>126</v>
      </c>
      <c r="I71" s="8">
        <v>125</v>
      </c>
      <c r="J71" s="8">
        <v>124</v>
      </c>
      <c r="K71" s="8">
        <v>107</v>
      </c>
      <c r="L71" s="8">
        <v>131</v>
      </c>
      <c r="M71" s="8">
        <v>112</v>
      </c>
      <c r="N71" s="8">
        <v>108</v>
      </c>
      <c r="O71" s="8">
        <v>126</v>
      </c>
      <c r="P71" s="8">
        <v>125</v>
      </c>
      <c r="Q71" s="8">
        <v>125</v>
      </c>
      <c r="R71" s="8">
        <v>103</v>
      </c>
    </row>
    <row r="72" spans="1:18" x14ac:dyDescent="0.35">
      <c r="A72" s="8">
        <v>67</v>
      </c>
      <c r="B72" s="8" t="s">
        <v>88</v>
      </c>
      <c r="C72" s="8">
        <v>123</v>
      </c>
      <c r="D72" s="8">
        <v>107</v>
      </c>
      <c r="E72" s="8">
        <v>134</v>
      </c>
      <c r="F72" s="8">
        <v>113</v>
      </c>
      <c r="G72" s="8">
        <v>120</v>
      </c>
      <c r="H72" s="8">
        <v>123</v>
      </c>
      <c r="I72" s="8">
        <v>133</v>
      </c>
      <c r="J72" s="8">
        <v>123</v>
      </c>
      <c r="K72" s="8">
        <v>107</v>
      </c>
      <c r="L72" s="8">
        <v>134</v>
      </c>
      <c r="M72" s="8">
        <v>113</v>
      </c>
      <c r="N72" s="8">
        <v>120</v>
      </c>
      <c r="O72" s="8">
        <v>123</v>
      </c>
      <c r="P72" s="8">
        <v>133</v>
      </c>
      <c r="Q72" s="8">
        <v>122</v>
      </c>
      <c r="R72" s="8">
        <v>106</v>
      </c>
    </row>
    <row r="73" spans="1:18" x14ac:dyDescent="0.35">
      <c r="A73" s="8">
        <v>68</v>
      </c>
      <c r="B73" s="8" t="s">
        <v>89</v>
      </c>
      <c r="C73" s="8">
        <v>128</v>
      </c>
      <c r="D73" s="8">
        <v>108</v>
      </c>
      <c r="E73" s="8">
        <v>132</v>
      </c>
      <c r="F73" s="8">
        <v>120</v>
      </c>
      <c r="G73" s="8">
        <v>123</v>
      </c>
      <c r="H73" s="8">
        <v>114</v>
      </c>
      <c r="I73" s="8">
        <v>138</v>
      </c>
      <c r="J73" s="8">
        <v>128</v>
      </c>
      <c r="K73" s="8">
        <v>108</v>
      </c>
      <c r="L73" s="8">
        <v>132</v>
      </c>
      <c r="M73" s="8">
        <v>120</v>
      </c>
      <c r="N73" s="8">
        <v>123</v>
      </c>
      <c r="O73" s="8">
        <v>114</v>
      </c>
      <c r="P73" s="8">
        <v>138</v>
      </c>
      <c r="Q73" s="8">
        <v>117</v>
      </c>
      <c r="R73" s="8">
        <v>114</v>
      </c>
    </row>
    <row r="74" spans="1:18" x14ac:dyDescent="0.35">
      <c r="A74" s="8">
        <v>69</v>
      </c>
      <c r="B74" s="8" t="s">
        <v>90</v>
      </c>
      <c r="C74" s="8">
        <v>124</v>
      </c>
      <c r="D74" s="8">
        <v>109</v>
      </c>
      <c r="E74" s="8">
        <v>125</v>
      </c>
      <c r="F74" s="8">
        <v>122</v>
      </c>
      <c r="G74" s="8">
        <v>124</v>
      </c>
      <c r="H74" s="8">
        <v>102</v>
      </c>
      <c r="I74" s="8">
        <v>128</v>
      </c>
      <c r="J74" s="8">
        <v>124</v>
      </c>
      <c r="K74" s="8">
        <v>109</v>
      </c>
      <c r="L74" s="8">
        <v>125</v>
      </c>
      <c r="M74" s="8">
        <v>122</v>
      </c>
      <c r="N74" s="8">
        <v>124</v>
      </c>
      <c r="O74" s="8">
        <v>102</v>
      </c>
      <c r="P74" s="8">
        <v>128</v>
      </c>
      <c r="Q74" s="8">
        <v>120</v>
      </c>
      <c r="R74" s="8">
        <v>116</v>
      </c>
    </row>
    <row r="75" spans="1:18" x14ac:dyDescent="0.35">
      <c r="A75" s="8">
        <v>70</v>
      </c>
      <c r="B75" s="8" t="s">
        <v>91</v>
      </c>
      <c r="C75" s="8">
        <v>118</v>
      </c>
      <c r="D75" s="8">
        <v>115</v>
      </c>
      <c r="E75" s="8">
        <v>123</v>
      </c>
      <c r="F75" s="8">
        <v>112</v>
      </c>
      <c r="G75" s="8">
        <v>116</v>
      </c>
      <c r="H75" s="8">
        <v>108</v>
      </c>
      <c r="I75" s="8">
        <v>122</v>
      </c>
      <c r="J75" s="8">
        <v>118</v>
      </c>
      <c r="K75" s="8">
        <v>115</v>
      </c>
      <c r="L75" s="8">
        <v>123</v>
      </c>
      <c r="M75" s="8">
        <v>112</v>
      </c>
      <c r="N75" s="8">
        <v>116</v>
      </c>
      <c r="O75" s="8">
        <v>108</v>
      </c>
      <c r="P75" s="8">
        <v>122</v>
      </c>
      <c r="Q75" s="8">
        <v>110</v>
      </c>
      <c r="R75" s="8">
        <v>129</v>
      </c>
    </row>
    <row r="76" spans="1:18" x14ac:dyDescent="0.35">
      <c r="A76" s="8">
        <v>71</v>
      </c>
      <c r="B76" s="8" t="s">
        <v>92</v>
      </c>
      <c r="C76" s="8">
        <v>127</v>
      </c>
      <c r="D76" s="8">
        <v>113</v>
      </c>
      <c r="E76" s="8">
        <v>133</v>
      </c>
      <c r="F76" s="8">
        <v>111</v>
      </c>
      <c r="G76" s="8">
        <v>120</v>
      </c>
      <c r="H76" s="8">
        <v>107</v>
      </c>
      <c r="I76" s="8">
        <v>119</v>
      </c>
      <c r="J76" s="8">
        <v>127</v>
      </c>
      <c r="K76" s="8">
        <v>113</v>
      </c>
      <c r="L76" s="8">
        <v>133</v>
      </c>
      <c r="M76" s="8">
        <v>111</v>
      </c>
      <c r="N76" s="8">
        <v>120</v>
      </c>
      <c r="O76" s="8">
        <v>107</v>
      </c>
      <c r="P76" s="8">
        <v>119</v>
      </c>
      <c r="Q76" s="8">
        <v>120</v>
      </c>
      <c r="R76" s="8">
        <v>128</v>
      </c>
    </row>
    <row r="77" spans="1:18" x14ac:dyDescent="0.35">
      <c r="A77" s="8">
        <v>72</v>
      </c>
      <c r="B77" s="8" t="s">
        <v>93</v>
      </c>
      <c r="C77" s="8">
        <v>120</v>
      </c>
      <c r="D77" s="8">
        <v>117</v>
      </c>
      <c r="E77" s="8">
        <v>118</v>
      </c>
      <c r="F77" s="8">
        <v>105</v>
      </c>
      <c r="G77" s="8">
        <v>130</v>
      </c>
      <c r="H77" s="8">
        <v>107</v>
      </c>
      <c r="I77" s="8">
        <v>111</v>
      </c>
      <c r="J77" s="8">
        <v>120</v>
      </c>
      <c r="K77" s="8">
        <v>117</v>
      </c>
      <c r="L77" s="8">
        <v>118</v>
      </c>
      <c r="M77" s="8">
        <v>105</v>
      </c>
      <c r="N77" s="8">
        <v>130</v>
      </c>
      <c r="O77" s="8">
        <v>107</v>
      </c>
      <c r="P77" s="8">
        <v>111</v>
      </c>
      <c r="Q77" s="8">
        <v>122</v>
      </c>
      <c r="R77" s="8">
        <v>124</v>
      </c>
    </row>
    <row r="78" spans="1:18" x14ac:dyDescent="0.35">
      <c r="A78" s="8">
        <v>73</v>
      </c>
      <c r="B78" s="8" t="s">
        <v>94</v>
      </c>
      <c r="C78" s="8">
        <v>116</v>
      </c>
      <c r="D78" s="8">
        <v>126</v>
      </c>
      <c r="E78" s="8">
        <v>120</v>
      </c>
      <c r="F78" s="8">
        <v>104</v>
      </c>
      <c r="G78" s="8">
        <v>131</v>
      </c>
      <c r="H78" s="8">
        <v>115</v>
      </c>
      <c r="I78" s="8">
        <v>116</v>
      </c>
      <c r="J78" s="8">
        <v>116</v>
      </c>
      <c r="K78" s="8">
        <v>126</v>
      </c>
      <c r="L78" s="8">
        <v>120</v>
      </c>
      <c r="M78" s="8">
        <v>104</v>
      </c>
      <c r="N78" s="8">
        <v>131</v>
      </c>
      <c r="O78" s="8">
        <v>115</v>
      </c>
      <c r="P78" s="8">
        <v>116</v>
      </c>
      <c r="Q78" s="8">
        <v>119</v>
      </c>
      <c r="R78" s="8">
        <v>117</v>
      </c>
    </row>
    <row r="79" spans="1:18" x14ac:dyDescent="0.35">
      <c r="A79" s="8">
        <v>74</v>
      </c>
      <c r="B79" s="8" t="s">
        <v>95</v>
      </c>
      <c r="C79" s="8">
        <v>110</v>
      </c>
      <c r="D79" s="8">
        <v>130</v>
      </c>
      <c r="E79" s="8">
        <v>108</v>
      </c>
      <c r="F79" s="8">
        <v>119</v>
      </c>
      <c r="G79" s="8">
        <v>141</v>
      </c>
      <c r="H79" s="8">
        <v>116</v>
      </c>
      <c r="I79" s="8">
        <v>116</v>
      </c>
      <c r="J79" s="8">
        <v>110</v>
      </c>
      <c r="K79" s="8">
        <v>130</v>
      </c>
      <c r="L79" s="8">
        <v>108</v>
      </c>
      <c r="M79" s="8">
        <v>119</v>
      </c>
      <c r="N79" s="8">
        <v>141</v>
      </c>
      <c r="O79" s="8">
        <v>116</v>
      </c>
      <c r="P79" s="8">
        <v>116</v>
      </c>
      <c r="Q79" s="8">
        <v>127</v>
      </c>
      <c r="R79" s="8">
        <v>110</v>
      </c>
    </row>
    <row r="80" spans="1:18" x14ac:dyDescent="0.35">
      <c r="A80" s="8">
        <v>75</v>
      </c>
      <c r="B80" s="8" t="s">
        <v>96</v>
      </c>
      <c r="C80" s="8">
        <v>117</v>
      </c>
      <c r="D80" s="8">
        <v>136</v>
      </c>
      <c r="E80" s="8">
        <v>96</v>
      </c>
      <c r="F80" s="8">
        <v>122</v>
      </c>
      <c r="G80" s="8">
        <v>134</v>
      </c>
      <c r="H80" s="8">
        <v>123</v>
      </c>
      <c r="I80" s="8">
        <v>115</v>
      </c>
      <c r="J80" s="8">
        <v>117</v>
      </c>
      <c r="K80" s="8">
        <v>136</v>
      </c>
      <c r="L80" s="8">
        <v>96</v>
      </c>
      <c r="M80" s="8">
        <v>122</v>
      </c>
      <c r="N80" s="8">
        <v>134</v>
      </c>
      <c r="O80" s="8">
        <v>123</v>
      </c>
      <c r="P80" s="8">
        <v>115</v>
      </c>
      <c r="Q80" s="8">
        <v>124</v>
      </c>
      <c r="R80" s="8">
        <v>115</v>
      </c>
    </row>
    <row r="81" spans="1:18" x14ac:dyDescent="0.35">
      <c r="A81" s="8">
        <v>76</v>
      </c>
      <c r="B81" s="8" t="s">
        <v>97</v>
      </c>
      <c r="C81" s="8">
        <v>114</v>
      </c>
      <c r="D81" s="8">
        <v>126</v>
      </c>
      <c r="E81" s="8">
        <v>98</v>
      </c>
      <c r="F81" s="8">
        <v>122</v>
      </c>
      <c r="G81" s="8">
        <v>131</v>
      </c>
      <c r="H81" s="8">
        <v>124</v>
      </c>
      <c r="I81" s="8">
        <v>112</v>
      </c>
      <c r="J81" s="8">
        <v>114</v>
      </c>
      <c r="K81" s="8">
        <v>126</v>
      </c>
      <c r="L81" s="8">
        <v>98</v>
      </c>
      <c r="M81" s="8">
        <v>122</v>
      </c>
      <c r="N81" s="8">
        <v>131</v>
      </c>
      <c r="O81" s="8">
        <v>124</v>
      </c>
      <c r="P81" s="8">
        <v>112</v>
      </c>
      <c r="Q81" s="8">
        <v>123</v>
      </c>
      <c r="R81" s="8">
        <v>118</v>
      </c>
    </row>
    <row r="82" spans="1:18" x14ac:dyDescent="0.35">
      <c r="A82" s="8">
        <v>77</v>
      </c>
      <c r="B82" s="8" t="s">
        <v>98</v>
      </c>
      <c r="C82" s="8">
        <v>106</v>
      </c>
      <c r="D82" s="8">
        <v>130</v>
      </c>
      <c r="E82" s="8">
        <v>103</v>
      </c>
      <c r="F82" s="8">
        <v>127</v>
      </c>
      <c r="G82" s="8">
        <v>125</v>
      </c>
      <c r="H82" s="8">
        <v>121</v>
      </c>
      <c r="I82" s="8">
        <v>113</v>
      </c>
      <c r="J82" s="8">
        <v>106</v>
      </c>
      <c r="K82" s="8">
        <v>130</v>
      </c>
      <c r="L82" s="8">
        <v>103</v>
      </c>
      <c r="M82" s="8">
        <v>127</v>
      </c>
      <c r="N82" s="8">
        <v>125</v>
      </c>
      <c r="O82" s="8">
        <v>121</v>
      </c>
      <c r="P82" s="8">
        <v>113</v>
      </c>
      <c r="Q82" s="8">
        <v>126</v>
      </c>
      <c r="R82" s="8">
        <v>122</v>
      </c>
    </row>
    <row r="83" spans="1:18" x14ac:dyDescent="0.35">
      <c r="A83" s="8">
        <v>78</v>
      </c>
      <c r="B83" s="8" t="s">
        <v>99</v>
      </c>
      <c r="C83" s="8">
        <v>106</v>
      </c>
      <c r="D83" s="8">
        <v>130</v>
      </c>
      <c r="E83" s="8">
        <v>107</v>
      </c>
      <c r="F83" s="8">
        <v>119</v>
      </c>
      <c r="G83" s="8">
        <v>114</v>
      </c>
      <c r="H83" s="8">
        <v>126</v>
      </c>
      <c r="I83" s="8">
        <v>117</v>
      </c>
      <c r="J83" s="8">
        <v>106</v>
      </c>
      <c r="K83" s="8">
        <v>130</v>
      </c>
      <c r="L83" s="8">
        <v>107</v>
      </c>
      <c r="M83" s="8">
        <v>119</v>
      </c>
      <c r="N83" s="8">
        <v>114</v>
      </c>
      <c r="O83" s="8">
        <v>126</v>
      </c>
      <c r="P83" s="8">
        <v>117</v>
      </c>
      <c r="Q83" s="8">
        <v>133</v>
      </c>
      <c r="R83" s="8">
        <v>126</v>
      </c>
    </row>
    <row r="84" spans="1:18" x14ac:dyDescent="0.35">
      <c r="A84" s="8">
        <v>79</v>
      </c>
      <c r="B84" s="8" t="s">
        <v>100</v>
      </c>
      <c r="C84" s="8">
        <v>95</v>
      </c>
      <c r="D84" s="8">
        <v>128</v>
      </c>
      <c r="E84" s="8">
        <v>108</v>
      </c>
      <c r="F84" s="8">
        <v>120</v>
      </c>
      <c r="G84" s="8">
        <v>118</v>
      </c>
      <c r="H84" s="8">
        <v>121</v>
      </c>
      <c r="I84" s="8">
        <v>117</v>
      </c>
      <c r="J84" s="8">
        <v>95</v>
      </c>
      <c r="K84" s="8">
        <v>128</v>
      </c>
      <c r="L84" s="8">
        <v>108</v>
      </c>
      <c r="M84" s="8">
        <v>120</v>
      </c>
      <c r="N84" s="8">
        <v>118</v>
      </c>
      <c r="O84" s="8">
        <v>121</v>
      </c>
      <c r="P84" s="8">
        <v>117</v>
      </c>
      <c r="Q84" s="8">
        <v>136</v>
      </c>
      <c r="R84" s="8">
        <v>117</v>
      </c>
    </row>
    <row r="85" spans="1:18" x14ac:dyDescent="0.35">
      <c r="A85" s="8">
        <v>80</v>
      </c>
      <c r="B85" s="8" t="s">
        <v>101</v>
      </c>
      <c r="C85" s="8">
        <v>101</v>
      </c>
      <c r="D85" s="8">
        <v>141</v>
      </c>
      <c r="E85" s="8">
        <v>125</v>
      </c>
      <c r="F85" s="8">
        <v>118</v>
      </c>
      <c r="G85" s="8">
        <v>117</v>
      </c>
      <c r="H85" s="8">
        <v>127</v>
      </c>
      <c r="I85" s="8">
        <v>118</v>
      </c>
      <c r="J85" s="8">
        <v>101</v>
      </c>
      <c r="K85" s="8">
        <v>141</v>
      </c>
      <c r="L85" s="8">
        <v>125</v>
      </c>
      <c r="M85" s="8">
        <v>118</v>
      </c>
      <c r="N85" s="8">
        <v>117</v>
      </c>
      <c r="O85" s="8">
        <v>127</v>
      </c>
      <c r="P85" s="8">
        <v>118</v>
      </c>
      <c r="Q85" s="8">
        <v>141</v>
      </c>
      <c r="R85" s="8">
        <v>114</v>
      </c>
    </row>
    <row r="86" spans="1:18" x14ac:dyDescent="0.35">
      <c r="A86" s="8">
        <v>81</v>
      </c>
      <c r="B86" s="8" t="s">
        <v>102</v>
      </c>
      <c r="C86" s="8">
        <v>120</v>
      </c>
      <c r="D86" s="8">
        <v>138</v>
      </c>
      <c r="E86" s="8">
        <v>126</v>
      </c>
      <c r="F86" s="8">
        <v>110</v>
      </c>
      <c r="G86" s="8">
        <v>117</v>
      </c>
      <c r="H86" s="8">
        <v>127</v>
      </c>
      <c r="I86" s="8">
        <v>116</v>
      </c>
      <c r="J86" s="8">
        <v>120</v>
      </c>
      <c r="K86" s="8">
        <v>138</v>
      </c>
      <c r="L86" s="8">
        <v>126</v>
      </c>
      <c r="M86" s="8">
        <v>110</v>
      </c>
      <c r="N86" s="8">
        <v>117</v>
      </c>
      <c r="O86" s="8">
        <v>127</v>
      </c>
      <c r="P86" s="8">
        <v>116</v>
      </c>
      <c r="Q86" s="8">
        <v>134</v>
      </c>
      <c r="R86" s="8">
        <v>116</v>
      </c>
    </row>
    <row r="87" spans="1:18" x14ac:dyDescent="0.35">
      <c r="A87" s="8">
        <v>82</v>
      </c>
      <c r="B87" s="8" t="s">
        <v>103</v>
      </c>
      <c r="C87" s="8">
        <v>117</v>
      </c>
      <c r="D87" s="8">
        <v>134</v>
      </c>
      <c r="E87" s="8">
        <v>134</v>
      </c>
      <c r="F87" s="8">
        <v>115</v>
      </c>
      <c r="G87" s="8">
        <v>115</v>
      </c>
      <c r="H87" s="8">
        <v>120</v>
      </c>
      <c r="I87" s="8">
        <v>104</v>
      </c>
      <c r="J87" s="8">
        <v>117</v>
      </c>
      <c r="K87" s="8">
        <v>134</v>
      </c>
      <c r="L87" s="8">
        <v>134</v>
      </c>
      <c r="M87" s="8">
        <v>115</v>
      </c>
      <c r="N87" s="8">
        <v>115</v>
      </c>
      <c r="O87" s="8">
        <v>120</v>
      </c>
      <c r="P87" s="8">
        <v>104</v>
      </c>
      <c r="Q87" s="8">
        <v>120</v>
      </c>
      <c r="R87" s="8">
        <v>114</v>
      </c>
    </row>
    <row r="88" spans="1:18" x14ac:dyDescent="0.35">
      <c r="A88" s="8">
        <v>83</v>
      </c>
      <c r="B88" s="8" t="s">
        <v>104</v>
      </c>
      <c r="C88" s="8">
        <v>124</v>
      </c>
      <c r="D88" s="8">
        <v>135</v>
      </c>
      <c r="E88" s="8">
        <v>135</v>
      </c>
      <c r="F88" s="8">
        <v>119</v>
      </c>
      <c r="G88" s="8">
        <v>112</v>
      </c>
      <c r="H88" s="8">
        <v>118</v>
      </c>
      <c r="I88" s="8">
        <v>115</v>
      </c>
      <c r="J88" s="8">
        <v>124</v>
      </c>
      <c r="K88" s="8">
        <v>135</v>
      </c>
      <c r="L88" s="8">
        <v>135</v>
      </c>
      <c r="M88" s="8">
        <v>119</v>
      </c>
      <c r="N88" s="8">
        <v>112</v>
      </c>
      <c r="O88" s="8">
        <v>118</v>
      </c>
      <c r="P88" s="8">
        <v>115</v>
      </c>
      <c r="Q88" s="8">
        <v>119</v>
      </c>
      <c r="R88" s="8">
        <v>120</v>
      </c>
    </row>
    <row r="89" spans="1:18" x14ac:dyDescent="0.35">
      <c r="A89" s="8">
        <v>84</v>
      </c>
      <c r="B89" s="8" t="s">
        <v>105</v>
      </c>
      <c r="C89" s="8">
        <v>131</v>
      </c>
      <c r="D89" s="8">
        <v>124</v>
      </c>
      <c r="E89" s="8">
        <v>126</v>
      </c>
      <c r="F89" s="8">
        <v>122</v>
      </c>
      <c r="G89" s="8">
        <v>112</v>
      </c>
      <c r="H89" s="8">
        <v>113</v>
      </c>
      <c r="I89" s="8">
        <v>129</v>
      </c>
      <c r="J89" s="8">
        <v>131</v>
      </c>
      <c r="K89" s="8">
        <v>124</v>
      </c>
      <c r="L89" s="8">
        <v>126</v>
      </c>
      <c r="M89" s="8">
        <v>122</v>
      </c>
      <c r="N89" s="8">
        <v>112</v>
      </c>
      <c r="O89" s="8">
        <v>113</v>
      </c>
      <c r="P89" s="8">
        <v>129</v>
      </c>
      <c r="Q89" s="8">
        <v>108</v>
      </c>
      <c r="R89" s="8">
        <v>122</v>
      </c>
    </row>
    <row r="90" spans="1:18" x14ac:dyDescent="0.35">
      <c r="A90" s="8">
        <v>85</v>
      </c>
      <c r="B90" s="8" t="s">
        <v>106</v>
      </c>
      <c r="C90" s="8">
        <v>129</v>
      </c>
      <c r="D90" s="8">
        <v>109</v>
      </c>
      <c r="E90" s="8">
        <v>125</v>
      </c>
      <c r="F90" s="8">
        <v>124</v>
      </c>
      <c r="G90" s="8">
        <v>124</v>
      </c>
      <c r="H90" s="8">
        <v>120</v>
      </c>
      <c r="I90" s="8">
        <v>127</v>
      </c>
      <c r="J90" s="8">
        <v>129</v>
      </c>
      <c r="K90" s="8">
        <v>109</v>
      </c>
      <c r="L90" s="8">
        <v>125</v>
      </c>
      <c r="M90" s="8">
        <v>124</v>
      </c>
      <c r="N90" s="8">
        <v>124</v>
      </c>
      <c r="O90" s="8">
        <v>120</v>
      </c>
      <c r="P90" s="8">
        <v>127</v>
      </c>
      <c r="Q90" s="8">
        <v>113</v>
      </c>
      <c r="R90" s="8">
        <v>122</v>
      </c>
    </row>
    <row r="91" spans="1:18" x14ac:dyDescent="0.35">
      <c r="A91" s="8">
        <v>86</v>
      </c>
      <c r="B91" s="8" t="s">
        <v>107</v>
      </c>
      <c r="C91" s="8">
        <v>135</v>
      </c>
      <c r="D91" s="8">
        <v>113</v>
      </c>
      <c r="E91" s="8">
        <v>124</v>
      </c>
      <c r="F91" s="8">
        <v>127</v>
      </c>
      <c r="G91" s="8">
        <v>132</v>
      </c>
      <c r="H91" s="8">
        <v>111</v>
      </c>
      <c r="I91" s="8">
        <v>134</v>
      </c>
      <c r="J91" s="8">
        <v>135</v>
      </c>
      <c r="K91" s="8">
        <v>113</v>
      </c>
      <c r="L91" s="8">
        <v>124</v>
      </c>
      <c r="M91" s="8">
        <v>127</v>
      </c>
      <c r="N91" s="8">
        <v>132</v>
      </c>
      <c r="O91" s="8">
        <v>111</v>
      </c>
      <c r="P91" s="8">
        <v>134</v>
      </c>
      <c r="Q91" s="8">
        <v>120</v>
      </c>
      <c r="R91" s="8">
        <v>119</v>
      </c>
    </row>
    <row r="92" spans="1:18" x14ac:dyDescent="0.35">
      <c r="A92" s="8">
        <v>87</v>
      </c>
      <c r="B92" s="8" t="s">
        <v>108</v>
      </c>
      <c r="C92" s="8">
        <v>133</v>
      </c>
      <c r="D92" s="8">
        <v>118</v>
      </c>
      <c r="E92" s="8">
        <v>113</v>
      </c>
      <c r="F92" s="8">
        <v>123</v>
      </c>
      <c r="G92" s="8">
        <v>126</v>
      </c>
      <c r="H92" s="8">
        <v>113</v>
      </c>
      <c r="I92" s="8">
        <v>120</v>
      </c>
      <c r="J92" s="8">
        <v>133</v>
      </c>
      <c r="K92" s="8">
        <v>118</v>
      </c>
      <c r="L92" s="8">
        <v>113</v>
      </c>
      <c r="M92" s="8">
        <v>123</v>
      </c>
      <c r="N92" s="8">
        <v>126</v>
      </c>
      <c r="O92" s="8">
        <v>113</v>
      </c>
      <c r="P92" s="8">
        <v>120</v>
      </c>
      <c r="Q92" s="8">
        <v>118</v>
      </c>
      <c r="R92" s="8">
        <v>118</v>
      </c>
    </row>
    <row r="93" spans="1:18" x14ac:dyDescent="0.35">
      <c r="A93" s="8">
        <v>88</v>
      </c>
      <c r="B93" s="8" t="s">
        <v>109</v>
      </c>
      <c r="C93" s="8">
        <v>128</v>
      </c>
      <c r="D93" s="8">
        <v>117</v>
      </c>
      <c r="E93" s="8">
        <v>117</v>
      </c>
      <c r="F93" s="8">
        <v>122</v>
      </c>
      <c r="G93" s="8">
        <v>119</v>
      </c>
      <c r="H93" s="8">
        <v>120</v>
      </c>
      <c r="I93" s="8">
        <v>118</v>
      </c>
      <c r="J93" s="8">
        <v>128</v>
      </c>
      <c r="K93" s="8">
        <v>117</v>
      </c>
      <c r="L93" s="8">
        <v>117</v>
      </c>
      <c r="M93" s="8">
        <v>122</v>
      </c>
      <c r="N93" s="8">
        <v>119</v>
      </c>
      <c r="O93" s="8">
        <v>120</v>
      </c>
      <c r="P93" s="8">
        <v>118</v>
      </c>
      <c r="Q93" s="8">
        <v>126</v>
      </c>
      <c r="R93" s="8">
        <v>121</v>
      </c>
    </row>
    <row r="94" spans="1:18" x14ac:dyDescent="0.35">
      <c r="A94" s="8">
        <v>89</v>
      </c>
      <c r="B94" s="8" t="s">
        <v>110</v>
      </c>
      <c r="C94" s="8">
        <v>133</v>
      </c>
      <c r="D94" s="8">
        <v>125</v>
      </c>
      <c r="E94" s="8">
        <v>111</v>
      </c>
      <c r="F94" s="8">
        <v>122</v>
      </c>
      <c r="G94" s="8">
        <v>116</v>
      </c>
      <c r="H94" s="8">
        <v>119</v>
      </c>
      <c r="I94" s="8">
        <v>124</v>
      </c>
      <c r="J94" s="8">
        <v>133</v>
      </c>
      <c r="K94" s="8">
        <v>125</v>
      </c>
      <c r="L94" s="8">
        <v>111</v>
      </c>
      <c r="M94" s="8">
        <v>122</v>
      </c>
      <c r="N94" s="8">
        <v>116</v>
      </c>
      <c r="O94" s="8">
        <v>119</v>
      </c>
      <c r="P94" s="8">
        <v>124</v>
      </c>
      <c r="Q94" s="8">
        <v>125</v>
      </c>
      <c r="R94" s="8">
        <v>128</v>
      </c>
    </row>
    <row r="95" spans="1:18" x14ac:dyDescent="0.35">
      <c r="A95" s="8">
        <v>90</v>
      </c>
      <c r="B95" s="8" t="s">
        <v>111</v>
      </c>
      <c r="C95" s="8">
        <v>129</v>
      </c>
      <c r="D95" s="8">
        <v>125</v>
      </c>
      <c r="E95" s="8">
        <v>103</v>
      </c>
      <c r="F95" s="8">
        <v>112</v>
      </c>
      <c r="G95" s="8">
        <v>115</v>
      </c>
      <c r="H95" s="8">
        <v>123</v>
      </c>
      <c r="I95" s="8">
        <v>134</v>
      </c>
      <c r="J95" s="8">
        <v>129</v>
      </c>
      <c r="K95" s="8">
        <v>125</v>
      </c>
      <c r="L95" s="8">
        <v>103</v>
      </c>
      <c r="M95" s="8">
        <v>112</v>
      </c>
      <c r="N95" s="8">
        <v>115</v>
      </c>
      <c r="O95" s="8">
        <v>123</v>
      </c>
      <c r="P95" s="8">
        <v>134</v>
      </c>
      <c r="Q95" s="8">
        <v>122</v>
      </c>
      <c r="R95" s="8">
        <v>124</v>
      </c>
    </row>
    <row r="96" spans="1:18" x14ac:dyDescent="0.35">
      <c r="A96" s="8">
        <v>91</v>
      </c>
      <c r="B96" s="8" t="s">
        <v>112</v>
      </c>
      <c r="C96" s="8">
        <v>127</v>
      </c>
      <c r="D96" s="8">
        <v>113</v>
      </c>
      <c r="E96" s="8">
        <v>107</v>
      </c>
      <c r="F96" s="8">
        <v>114</v>
      </c>
      <c r="G96" s="8">
        <v>120</v>
      </c>
      <c r="H96" s="8">
        <v>125</v>
      </c>
      <c r="I96" s="8">
        <v>132</v>
      </c>
      <c r="J96" s="8">
        <v>127</v>
      </c>
      <c r="K96" s="8">
        <v>113</v>
      </c>
      <c r="L96" s="8">
        <v>107</v>
      </c>
      <c r="M96" s="8">
        <v>114</v>
      </c>
      <c r="N96" s="8">
        <v>120</v>
      </c>
      <c r="O96" s="8">
        <v>125</v>
      </c>
      <c r="P96" s="8">
        <v>132</v>
      </c>
      <c r="Q96" s="8">
        <v>123</v>
      </c>
      <c r="R96" s="8">
        <v>120</v>
      </c>
    </row>
    <row r="97" spans="1:18" x14ac:dyDescent="0.35">
      <c r="A97" s="8">
        <v>92</v>
      </c>
      <c r="B97" s="8" t="s">
        <v>113</v>
      </c>
      <c r="C97" s="8">
        <v>121</v>
      </c>
      <c r="D97" s="8">
        <v>127</v>
      </c>
      <c r="E97" s="8">
        <v>110</v>
      </c>
      <c r="F97" s="8">
        <v>114</v>
      </c>
      <c r="G97" s="8">
        <v>124</v>
      </c>
      <c r="H97" s="8">
        <v>125</v>
      </c>
      <c r="I97" s="8">
        <v>128</v>
      </c>
      <c r="J97" s="8">
        <v>121</v>
      </c>
      <c r="K97" s="8">
        <v>127</v>
      </c>
      <c r="L97" s="8">
        <v>110</v>
      </c>
      <c r="M97" s="8">
        <v>114</v>
      </c>
      <c r="N97" s="8">
        <v>124</v>
      </c>
      <c r="O97" s="8">
        <v>125</v>
      </c>
      <c r="P97" s="8">
        <v>128</v>
      </c>
      <c r="Q97" s="8">
        <v>119</v>
      </c>
      <c r="R97" s="8">
        <v>107</v>
      </c>
    </row>
    <row r="98" spans="1:18" x14ac:dyDescent="0.35">
      <c r="A98" s="8">
        <v>93</v>
      </c>
      <c r="B98" s="8" t="s">
        <v>114</v>
      </c>
      <c r="C98" s="8">
        <v>105</v>
      </c>
      <c r="D98" s="8">
        <v>120</v>
      </c>
      <c r="E98" s="8">
        <v>115</v>
      </c>
      <c r="F98" s="8">
        <v>112</v>
      </c>
      <c r="G98" s="8">
        <v>122</v>
      </c>
      <c r="H98" s="8">
        <v>127</v>
      </c>
      <c r="I98" s="8">
        <v>121</v>
      </c>
      <c r="J98" s="8">
        <v>105</v>
      </c>
      <c r="K98" s="8">
        <v>120</v>
      </c>
      <c r="L98" s="8">
        <v>115</v>
      </c>
      <c r="M98" s="8">
        <v>112</v>
      </c>
      <c r="N98" s="8">
        <v>122</v>
      </c>
      <c r="O98" s="8">
        <v>127</v>
      </c>
      <c r="P98" s="8">
        <v>121</v>
      </c>
      <c r="Q98" s="8">
        <v>116</v>
      </c>
      <c r="R98" s="8">
        <v>100</v>
      </c>
    </row>
    <row r="99" spans="1:18" x14ac:dyDescent="0.35">
      <c r="A99" s="8">
        <v>94</v>
      </c>
      <c r="B99" s="8" t="s">
        <v>115</v>
      </c>
      <c r="C99" s="8">
        <v>103</v>
      </c>
      <c r="D99" s="8">
        <v>116</v>
      </c>
      <c r="E99" s="8">
        <v>109</v>
      </c>
      <c r="F99" s="8">
        <v>122</v>
      </c>
      <c r="G99" s="8">
        <v>122</v>
      </c>
      <c r="H99" s="8">
        <v>127</v>
      </c>
      <c r="I99" s="8">
        <v>115</v>
      </c>
      <c r="J99" s="8">
        <v>103</v>
      </c>
      <c r="K99" s="8">
        <v>116</v>
      </c>
      <c r="L99" s="8">
        <v>109</v>
      </c>
      <c r="M99" s="8">
        <v>122</v>
      </c>
      <c r="N99" s="8">
        <v>122</v>
      </c>
      <c r="O99" s="8">
        <v>127</v>
      </c>
      <c r="P99" s="8">
        <v>115</v>
      </c>
      <c r="Q99" s="8">
        <v>117</v>
      </c>
      <c r="R99" s="8">
        <v>107</v>
      </c>
    </row>
    <row r="100" spans="1:18" x14ac:dyDescent="0.35">
      <c r="A100" s="8">
        <v>95</v>
      </c>
      <c r="B100" s="8" t="s">
        <v>116</v>
      </c>
      <c r="C100" s="8">
        <v>107</v>
      </c>
      <c r="D100" s="8">
        <v>110</v>
      </c>
      <c r="E100" s="8">
        <v>117</v>
      </c>
      <c r="F100" s="8">
        <v>131</v>
      </c>
      <c r="G100" s="8">
        <v>126</v>
      </c>
      <c r="H100" s="8">
        <v>126</v>
      </c>
      <c r="I100" s="8">
        <v>124</v>
      </c>
      <c r="J100" s="8">
        <v>107</v>
      </c>
      <c r="K100" s="8">
        <v>110</v>
      </c>
      <c r="L100" s="8">
        <v>117</v>
      </c>
      <c r="M100" s="8">
        <v>131</v>
      </c>
      <c r="N100" s="8">
        <v>126</v>
      </c>
      <c r="O100" s="8">
        <v>126</v>
      </c>
      <c r="P100" s="8">
        <v>124</v>
      </c>
      <c r="Q100" s="8">
        <v>115</v>
      </c>
      <c r="R100" s="8">
        <v>122</v>
      </c>
    </row>
    <row r="101" spans="1:18" x14ac:dyDescent="0.35">
      <c r="A101" s="8">
        <v>96</v>
      </c>
      <c r="B101" s="8" t="s">
        <v>117</v>
      </c>
      <c r="C101" s="8">
        <v>108</v>
      </c>
      <c r="D101" s="8">
        <v>112</v>
      </c>
      <c r="E101" s="8">
        <v>112</v>
      </c>
      <c r="F101" s="8">
        <v>139</v>
      </c>
      <c r="G101" s="8">
        <v>127</v>
      </c>
      <c r="H101" s="8">
        <v>117</v>
      </c>
      <c r="I101" s="8">
        <v>113</v>
      </c>
      <c r="J101" s="8">
        <v>108</v>
      </c>
      <c r="K101" s="8">
        <v>112</v>
      </c>
      <c r="L101" s="8">
        <v>112</v>
      </c>
      <c r="M101" s="8">
        <v>139</v>
      </c>
      <c r="N101" s="8">
        <v>127</v>
      </c>
      <c r="O101" s="8">
        <v>117</v>
      </c>
      <c r="P101" s="8">
        <v>113</v>
      </c>
      <c r="Q101" s="8">
        <v>119</v>
      </c>
      <c r="R101" s="8">
        <v>131</v>
      </c>
    </row>
    <row r="102" spans="1:18" x14ac:dyDescent="0.35">
      <c r="A102" s="8">
        <v>97</v>
      </c>
      <c r="B102" s="8" t="s">
        <v>118</v>
      </c>
      <c r="C102" s="8">
        <v>115</v>
      </c>
      <c r="D102" s="8">
        <v>127</v>
      </c>
      <c r="E102" s="8">
        <v>103</v>
      </c>
      <c r="F102" s="8">
        <v>142</v>
      </c>
      <c r="G102" s="8">
        <v>121</v>
      </c>
      <c r="H102" s="8">
        <v>109</v>
      </c>
      <c r="I102" s="8">
        <v>114</v>
      </c>
      <c r="J102" s="8">
        <v>115</v>
      </c>
      <c r="K102" s="8">
        <v>127</v>
      </c>
      <c r="L102" s="8">
        <v>103</v>
      </c>
      <c r="M102" s="8">
        <v>142</v>
      </c>
      <c r="N102" s="8">
        <v>121</v>
      </c>
      <c r="O102" s="8">
        <v>109</v>
      </c>
      <c r="P102" s="8">
        <v>114</v>
      </c>
      <c r="Q102" s="8">
        <v>124</v>
      </c>
      <c r="R102" s="8">
        <v>138</v>
      </c>
    </row>
    <row r="103" spans="1:18" x14ac:dyDescent="0.35">
      <c r="A103" s="8">
        <v>98</v>
      </c>
      <c r="B103" s="8" t="s">
        <v>119</v>
      </c>
      <c r="C103" s="8">
        <v>114</v>
      </c>
      <c r="D103" s="8">
        <v>123</v>
      </c>
      <c r="E103" s="8">
        <v>120</v>
      </c>
      <c r="F103" s="8">
        <v>140</v>
      </c>
      <c r="G103" s="8">
        <v>121</v>
      </c>
      <c r="H103" s="8">
        <v>110</v>
      </c>
      <c r="I103" s="8">
        <v>110</v>
      </c>
      <c r="J103" s="8">
        <v>114</v>
      </c>
      <c r="K103" s="8">
        <v>123</v>
      </c>
      <c r="L103" s="8">
        <v>120</v>
      </c>
      <c r="M103" s="8">
        <v>140</v>
      </c>
      <c r="N103" s="8">
        <v>121</v>
      </c>
      <c r="O103" s="8">
        <v>110</v>
      </c>
      <c r="P103" s="8">
        <v>110</v>
      </c>
      <c r="Q103" s="8">
        <v>125</v>
      </c>
      <c r="R103" s="8">
        <v>140</v>
      </c>
    </row>
    <row r="104" spans="1:18" x14ac:dyDescent="0.35">
      <c r="A104" s="8">
        <v>99</v>
      </c>
      <c r="B104" s="8" t="s">
        <v>120</v>
      </c>
      <c r="C104" s="8">
        <v>112</v>
      </c>
      <c r="D104" s="8">
        <v>131</v>
      </c>
      <c r="E104" s="8">
        <v>113</v>
      </c>
      <c r="F104" s="8">
        <v>132</v>
      </c>
      <c r="G104" s="8">
        <v>112</v>
      </c>
      <c r="H104" s="8">
        <v>112</v>
      </c>
      <c r="I104" s="8">
        <v>109</v>
      </c>
      <c r="J104" s="8">
        <v>112</v>
      </c>
      <c r="K104" s="8">
        <v>131</v>
      </c>
      <c r="L104" s="8">
        <v>113</v>
      </c>
      <c r="M104" s="8">
        <v>132</v>
      </c>
      <c r="N104" s="8">
        <v>112</v>
      </c>
      <c r="O104" s="8">
        <v>112</v>
      </c>
      <c r="P104" s="8">
        <v>109</v>
      </c>
      <c r="Q104" s="8">
        <v>123</v>
      </c>
      <c r="R104" s="8">
        <v>127</v>
      </c>
    </row>
    <row r="105" spans="1:18" x14ac:dyDescent="0.35">
      <c r="A105" s="8">
        <v>100</v>
      </c>
      <c r="B105" s="8" t="s">
        <v>121</v>
      </c>
      <c r="C105" s="8">
        <v>120</v>
      </c>
      <c r="D105" s="8">
        <v>122</v>
      </c>
      <c r="E105" s="8">
        <v>119</v>
      </c>
      <c r="F105" s="8">
        <v>134</v>
      </c>
      <c r="G105" s="8">
        <v>118</v>
      </c>
      <c r="H105" s="8">
        <v>120</v>
      </c>
      <c r="I105" s="8">
        <v>114</v>
      </c>
      <c r="J105" s="8">
        <v>120</v>
      </c>
      <c r="K105" s="8">
        <v>122</v>
      </c>
      <c r="L105" s="8">
        <v>119</v>
      </c>
      <c r="M105" s="8">
        <v>134</v>
      </c>
      <c r="N105" s="8">
        <v>118</v>
      </c>
      <c r="O105" s="8">
        <v>120</v>
      </c>
      <c r="P105" s="8">
        <v>114</v>
      </c>
      <c r="Q105" s="8">
        <v>122</v>
      </c>
      <c r="R105" s="8">
        <v>126</v>
      </c>
    </row>
    <row r="106" spans="1:18" x14ac:dyDescent="0.35">
      <c r="A106" s="8">
        <v>101</v>
      </c>
      <c r="B106" s="8" t="s">
        <v>122</v>
      </c>
      <c r="C106" s="8">
        <v>118</v>
      </c>
      <c r="D106" s="8">
        <v>108</v>
      </c>
      <c r="E106" s="8">
        <v>125</v>
      </c>
      <c r="F106" s="8">
        <v>141</v>
      </c>
      <c r="G106" s="8">
        <v>116</v>
      </c>
      <c r="H106" s="8">
        <v>125</v>
      </c>
      <c r="I106" s="8">
        <v>117</v>
      </c>
      <c r="J106" s="8">
        <v>118</v>
      </c>
      <c r="K106" s="8">
        <v>108</v>
      </c>
      <c r="L106" s="8">
        <v>125</v>
      </c>
      <c r="M106" s="8">
        <v>141</v>
      </c>
      <c r="N106" s="8">
        <v>116</v>
      </c>
      <c r="O106" s="8">
        <v>125</v>
      </c>
      <c r="P106" s="8">
        <v>117</v>
      </c>
      <c r="Q106" s="8">
        <v>128</v>
      </c>
      <c r="R106" s="8">
        <v>116</v>
      </c>
    </row>
    <row r="107" spans="1:18" x14ac:dyDescent="0.35">
      <c r="A107" s="8">
        <v>102</v>
      </c>
      <c r="B107" s="8" t="s">
        <v>123</v>
      </c>
      <c r="C107" s="8">
        <v>130</v>
      </c>
      <c r="D107" s="8">
        <v>119</v>
      </c>
      <c r="E107" s="8">
        <v>112</v>
      </c>
      <c r="F107" s="8">
        <v>136</v>
      </c>
      <c r="G107" s="8">
        <v>119</v>
      </c>
      <c r="H107" s="8">
        <v>127</v>
      </c>
      <c r="I107" s="8">
        <v>128</v>
      </c>
      <c r="J107" s="8">
        <v>130</v>
      </c>
      <c r="K107" s="8">
        <v>119</v>
      </c>
      <c r="L107" s="8">
        <v>112</v>
      </c>
      <c r="M107" s="8">
        <v>136</v>
      </c>
      <c r="N107" s="8">
        <v>119</v>
      </c>
      <c r="O107" s="8">
        <v>127</v>
      </c>
      <c r="P107" s="8">
        <v>128</v>
      </c>
      <c r="Q107" s="8">
        <v>133</v>
      </c>
      <c r="R107" s="8">
        <v>111</v>
      </c>
    </row>
    <row r="108" spans="1:18" x14ac:dyDescent="0.35">
      <c r="A108" s="8">
        <v>103</v>
      </c>
      <c r="B108" s="8" t="s">
        <v>124</v>
      </c>
      <c r="C108" s="8">
        <v>132</v>
      </c>
      <c r="D108" s="8">
        <v>120</v>
      </c>
      <c r="E108" s="8">
        <v>116</v>
      </c>
      <c r="F108" s="8">
        <v>140</v>
      </c>
      <c r="G108" s="8">
        <v>116</v>
      </c>
      <c r="H108" s="8">
        <v>119</v>
      </c>
      <c r="I108" s="8">
        <v>130</v>
      </c>
      <c r="J108" s="8">
        <v>132</v>
      </c>
      <c r="K108" s="8">
        <v>120</v>
      </c>
      <c r="L108" s="8">
        <v>116</v>
      </c>
      <c r="M108" s="8">
        <v>140</v>
      </c>
      <c r="N108" s="8">
        <v>116</v>
      </c>
      <c r="O108" s="8">
        <v>119</v>
      </c>
      <c r="P108" s="8">
        <v>130</v>
      </c>
      <c r="Q108" s="8">
        <v>136</v>
      </c>
      <c r="R108" s="8">
        <v>116</v>
      </c>
    </row>
    <row r="109" spans="1:18" x14ac:dyDescent="0.35">
      <c r="A109" s="8">
        <v>104</v>
      </c>
      <c r="B109" s="8" t="s">
        <v>125</v>
      </c>
      <c r="C109" s="8">
        <v>126</v>
      </c>
      <c r="D109" s="8">
        <v>122</v>
      </c>
      <c r="E109" s="8">
        <v>119</v>
      </c>
      <c r="F109" s="8">
        <v>127</v>
      </c>
      <c r="G109" s="8">
        <v>105</v>
      </c>
      <c r="H109" s="8">
        <v>110</v>
      </c>
      <c r="I109" s="8">
        <v>136</v>
      </c>
      <c r="J109" s="8">
        <v>126</v>
      </c>
      <c r="K109" s="8">
        <v>122</v>
      </c>
      <c r="L109" s="8">
        <v>119</v>
      </c>
      <c r="M109" s="8">
        <v>127</v>
      </c>
      <c r="N109" s="8">
        <v>105</v>
      </c>
      <c r="O109" s="8">
        <v>110</v>
      </c>
      <c r="P109" s="8">
        <v>136</v>
      </c>
      <c r="Q109" s="8">
        <v>147</v>
      </c>
      <c r="R109" s="8">
        <v>122</v>
      </c>
    </row>
    <row r="110" spans="1:18" x14ac:dyDescent="0.35">
      <c r="A110" s="8">
        <v>105</v>
      </c>
      <c r="B110" s="8" t="s">
        <v>126</v>
      </c>
      <c r="C110" s="8">
        <v>109</v>
      </c>
      <c r="D110" s="8">
        <v>106</v>
      </c>
      <c r="E110" s="8">
        <v>100</v>
      </c>
      <c r="F110" s="8">
        <v>93</v>
      </c>
      <c r="G110" s="8">
        <v>91</v>
      </c>
      <c r="H110" s="8">
        <v>93</v>
      </c>
      <c r="I110" s="8">
        <v>114</v>
      </c>
      <c r="J110" s="8">
        <v>109</v>
      </c>
      <c r="K110" s="8">
        <v>106</v>
      </c>
      <c r="L110" s="8">
        <v>100</v>
      </c>
      <c r="M110" s="8">
        <v>93</v>
      </c>
      <c r="N110" s="8">
        <v>91</v>
      </c>
      <c r="O110" s="8">
        <v>93</v>
      </c>
      <c r="P110" s="8">
        <v>114</v>
      </c>
      <c r="Q110" s="8">
        <v>113</v>
      </c>
      <c r="R110" s="8">
        <v>111</v>
      </c>
    </row>
  </sheetData>
  <mergeCells count="2">
    <mergeCell ref="A1:Q1"/>
    <mergeCell ref="A2:Q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0"/>
  <sheetViews>
    <sheetView zoomScaleNormal="100" workbookViewId="0">
      <pane ySplit="4" topLeftCell="A5" activePane="bottomLeft" state="frozen"/>
      <selection pane="bottomLeft" sqref="A1:G1"/>
    </sheetView>
  </sheetViews>
  <sheetFormatPr defaultColWidth="8.6328125" defaultRowHeight="14.5" x14ac:dyDescent="0.35"/>
  <cols>
    <col min="1" max="1" width="4" customWidth="1"/>
    <col min="2" max="2" width="22" customWidth="1"/>
    <col min="3" max="3" width="6" customWidth="1"/>
    <col min="4" max="5" width="7" customWidth="1"/>
    <col min="6" max="7" width="10" customWidth="1"/>
    <col min="8" max="8" width="26" customWidth="1"/>
  </cols>
  <sheetData>
    <row r="1" spans="1:8" ht="18" x14ac:dyDescent="0.4">
      <c r="A1" s="3" t="s">
        <v>127</v>
      </c>
      <c r="B1" s="3"/>
      <c r="C1" s="3"/>
      <c r="D1" s="3"/>
      <c r="E1" s="3"/>
      <c r="F1" s="3"/>
      <c r="G1" s="3"/>
    </row>
    <row r="2" spans="1:8" ht="22.4" customHeight="1" x14ac:dyDescent="0.35">
      <c r="A2" s="4" t="s">
        <v>128</v>
      </c>
      <c r="B2" s="4"/>
      <c r="C2" s="4"/>
      <c r="D2" s="4"/>
      <c r="E2" s="4"/>
      <c r="F2" s="4"/>
      <c r="G2" s="4"/>
    </row>
    <row r="4" spans="1:8" x14ac:dyDescent="0.35">
      <c r="A4" s="5" t="s">
        <v>0</v>
      </c>
      <c r="B4" s="5" t="s">
        <v>129</v>
      </c>
      <c r="C4" s="5" t="s">
        <v>130</v>
      </c>
      <c r="D4" s="5" t="s">
        <v>131</v>
      </c>
      <c r="E4" s="5" t="s">
        <v>132</v>
      </c>
      <c r="F4" s="5" t="s">
        <v>133</v>
      </c>
      <c r="G4" s="5" t="s">
        <v>134</v>
      </c>
      <c r="H4" s="5" t="s">
        <v>1</v>
      </c>
    </row>
    <row r="5" spans="1:8" x14ac:dyDescent="0.35">
      <c r="A5" s="6">
        <v>1</v>
      </c>
      <c r="B5" s="9" t="s">
        <v>5</v>
      </c>
      <c r="C5" s="10">
        <f>COUNT('Data Mentah'!C6:C110)</f>
        <v>105</v>
      </c>
      <c r="D5" s="10">
        <f>MIN('Data Mentah'!C6:C110)</f>
        <v>70</v>
      </c>
      <c r="E5" s="10">
        <f>MAX('Data Mentah'!C6:C110)</f>
        <v>135</v>
      </c>
      <c r="F5" s="10">
        <f>ROUND(AVERAGE('Data Mentah'!C6:C110),2)</f>
        <v>116.74</v>
      </c>
      <c r="G5" s="10">
        <f>ROUND(STDEV('Data Mentah'!C6:C110),2)</f>
        <v>10.75</v>
      </c>
      <c r="H5" s="7" t="s">
        <v>135</v>
      </c>
    </row>
    <row r="6" spans="1:8" x14ac:dyDescent="0.35">
      <c r="A6" s="6">
        <v>2</v>
      </c>
      <c r="B6" s="9" t="s">
        <v>6</v>
      </c>
      <c r="C6" s="10">
        <f>COUNT('Data Mentah'!D6:D110)</f>
        <v>105</v>
      </c>
      <c r="D6" s="10">
        <f>MIN('Data Mentah'!D6:D110)</f>
        <v>54</v>
      </c>
      <c r="E6" s="10">
        <f>MAX('Data Mentah'!D6:D110)</f>
        <v>141</v>
      </c>
      <c r="F6" s="10">
        <f>ROUND(AVERAGE('Data Mentah'!D6:D110),2)</f>
        <v>116.42</v>
      </c>
      <c r="G6" s="10">
        <f>ROUND(STDEV('Data Mentah'!D6:D110),2)</f>
        <v>12.3</v>
      </c>
      <c r="H6" s="7" t="s">
        <v>135</v>
      </c>
    </row>
    <row r="7" spans="1:8" x14ac:dyDescent="0.35">
      <c r="A7" s="6">
        <v>3</v>
      </c>
      <c r="B7" s="9" t="s">
        <v>7</v>
      </c>
      <c r="C7" s="10">
        <f>COUNT('Data Mentah'!E6:E110)</f>
        <v>105</v>
      </c>
      <c r="D7" s="10">
        <f>MIN('Data Mentah'!E6:E110)</f>
        <v>69</v>
      </c>
      <c r="E7" s="10">
        <f>MAX('Data Mentah'!E6:E110)</f>
        <v>139</v>
      </c>
      <c r="F7" s="10">
        <f>ROUND(AVERAGE('Data Mentah'!E6:E110),2)</f>
        <v>116.5</v>
      </c>
      <c r="G7" s="10">
        <f>ROUND(STDEV('Data Mentah'!E6:E110),2)</f>
        <v>11.59</v>
      </c>
      <c r="H7" s="7" t="s">
        <v>135</v>
      </c>
    </row>
    <row r="8" spans="1:8" x14ac:dyDescent="0.35">
      <c r="A8" s="6">
        <v>4</v>
      </c>
      <c r="B8" s="9" t="s">
        <v>8</v>
      </c>
      <c r="C8" s="10">
        <f>COUNT('Data Mentah'!F6:F110)</f>
        <v>105</v>
      </c>
      <c r="D8" s="10">
        <f>MIN('Data Mentah'!F6:F110)</f>
        <v>80</v>
      </c>
      <c r="E8" s="10">
        <f>MAX('Data Mentah'!F6:F110)</f>
        <v>142</v>
      </c>
      <c r="F8" s="10">
        <f>ROUND(AVERAGE('Data Mentah'!F6:F110),2)</f>
        <v>117.28</v>
      </c>
      <c r="G8" s="10">
        <f>ROUND(STDEV('Data Mentah'!F6:F110),2)</f>
        <v>12.06</v>
      </c>
      <c r="H8" s="7" t="s">
        <v>135</v>
      </c>
    </row>
    <row r="9" spans="1:8" x14ac:dyDescent="0.35">
      <c r="A9" s="6">
        <v>5</v>
      </c>
      <c r="B9" s="9" t="s">
        <v>9</v>
      </c>
      <c r="C9" s="10">
        <f>COUNT('Data Mentah'!G6:G110)</f>
        <v>105</v>
      </c>
      <c r="D9" s="10">
        <f>MIN('Data Mentah'!G6:G110)</f>
        <v>37</v>
      </c>
      <c r="E9" s="10">
        <f>MAX('Data Mentah'!G6:G110)</f>
        <v>143</v>
      </c>
      <c r="F9" s="10">
        <f>ROUND(AVERAGE('Data Mentah'!G6:G110),2)</f>
        <v>119.21</v>
      </c>
      <c r="G9" s="10">
        <f>ROUND(STDEV('Data Mentah'!G6:G110),2)</f>
        <v>14.45</v>
      </c>
      <c r="H9" s="7" t="s">
        <v>135</v>
      </c>
    </row>
    <row r="10" spans="1:8" x14ac:dyDescent="0.35">
      <c r="A10" s="6">
        <v>6</v>
      </c>
      <c r="B10" s="9" t="s">
        <v>10</v>
      </c>
      <c r="C10" s="10">
        <f>COUNT('Data Mentah'!H6:H110)</f>
        <v>105</v>
      </c>
      <c r="D10" s="10">
        <f>MIN('Data Mentah'!H6:H110)</f>
        <v>71</v>
      </c>
      <c r="E10" s="10">
        <f>MAX('Data Mentah'!H6:H110)</f>
        <v>152</v>
      </c>
      <c r="F10" s="10">
        <f>ROUND(AVERAGE('Data Mentah'!H6:H110),2)</f>
        <v>117.43</v>
      </c>
      <c r="G10" s="10">
        <f>ROUND(STDEV('Data Mentah'!H6:H110),2)</f>
        <v>13.79</v>
      </c>
      <c r="H10" s="7" t="s">
        <v>135</v>
      </c>
    </row>
    <row r="11" spans="1:8" x14ac:dyDescent="0.35">
      <c r="A11" s="6">
        <v>7</v>
      </c>
      <c r="B11" s="9" t="s">
        <v>11</v>
      </c>
      <c r="C11" s="10">
        <f>COUNT('Data Mentah'!I6:I110)</f>
        <v>105</v>
      </c>
      <c r="D11" s="10">
        <f>MIN('Data Mentah'!I6:I110)</f>
        <v>60</v>
      </c>
      <c r="E11" s="10">
        <f>MAX('Data Mentah'!I6:I110)</f>
        <v>138</v>
      </c>
      <c r="F11" s="10">
        <f>ROUND(AVERAGE('Data Mentah'!I6:I110),2)</f>
        <v>118.93</v>
      </c>
      <c r="G11" s="10">
        <f>ROUND(STDEV('Data Mentah'!I6:I110),2)</f>
        <v>11.16</v>
      </c>
      <c r="H11" s="7" t="s">
        <v>135</v>
      </c>
    </row>
    <row r="12" spans="1:8" x14ac:dyDescent="0.35">
      <c r="A12" s="6">
        <v>8</v>
      </c>
      <c r="B12" s="11" t="s">
        <v>12</v>
      </c>
      <c r="C12" s="10">
        <f>COUNT('Data Mentah'!J6:J110)</f>
        <v>105</v>
      </c>
      <c r="D12" s="10">
        <f>MIN('Data Mentah'!J6:J110)</f>
        <v>70</v>
      </c>
      <c r="E12" s="10">
        <f>MAX('Data Mentah'!J6:J110)</f>
        <v>135</v>
      </c>
      <c r="F12" s="10">
        <f>ROUND(AVERAGE('Data Mentah'!J6:J110),2)</f>
        <v>116.74</v>
      </c>
      <c r="G12" s="10">
        <f>ROUND(STDEV('Data Mentah'!J6:J110),2)</f>
        <v>10.75</v>
      </c>
      <c r="H12" s="7" t="s">
        <v>136</v>
      </c>
    </row>
    <row r="13" spans="1:8" ht="29" x14ac:dyDescent="0.35">
      <c r="A13" s="6">
        <v>9</v>
      </c>
      <c r="B13" s="11" t="s">
        <v>13</v>
      </c>
      <c r="C13" s="10">
        <f>COUNT('Data Mentah'!K6:K110)</f>
        <v>105</v>
      </c>
      <c r="D13" s="10">
        <f>MIN('Data Mentah'!K6:K110)</f>
        <v>54</v>
      </c>
      <c r="E13" s="10">
        <f>MAX('Data Mentah'!K6:K110)</f>
        <v>141</v>
      </c>
      <c r="F13" s="10">
        <f>ROUND(AVERAGE('Data Mentah'!K6:K110),2)</f>
        <v>116.42</v>
      </c>
      <c r="G13" s="10">
        <f>ROUND(STDEV('Data Mentah'!K6:K110),2)</f>
        <v>12.3</v>
      </c>
      <c r="H13" s="7" t="s">
        <v>137</v>
      </c>
    </row>
    <row r="14" spans="1:8" ht="29" x14ac:dyDescent="0.35">
      <c r="A14" s="6">
        <v>10</v>
      </c>
      <c r="B14" s="11" t="s">
        <v>14</v>
      </c>
      <c r="C14" s="10">
        <f>COUNT('Data Mentah'!L6:L110)</f>
        <v>105</v>
      </c>
      <c r="D14" s="10">
        <f>MIN('Data Mentah'!L6:L110)</f>
        <v>69</v>
      </c>
      <c r="E14" s="10">
        <f>MAX('Data Mentah'!L6:L110)</f>
        <v>139</v>
      </c>
      <c r="F14" s="10">
        <f>ROUND(AVERAGE('Data Mentah'!L6:L110),2)</f>
        <v>116.5</v>
      </c>
      <c r="G14" s="10">
        <f>ROUND(STDEV('Data Mentah'!L6:L110),2)</f>
        <v>11.59</v>
      </c>
      <c r="H14" s="7" t="s">
        <v>138</v>
      </c>
    </row>
    <row r="15" spans="1:8" ht="29" x14ac:dyDescent="0.35">
      <c r="A15" s="6">
        <v>11</v>
      </c>
      <c r="B15" s="11" t="s">
        <v>15</v>
      </c>
      <c r="C15" s="10">
        <f>COUNT('Data Mentah'!M6:M110)</f>
        <v>105</v>
      </c>
      <c r="D15" s="10">
        <f>MIN('Data Mentah'!M6:M110)</f>
        <v>80</v>
      </c>
      <c r="E15" s="10">
        <f>MAX('Data Mentah'!M6:M110)</f>
        <v>142</v>
      </c>
      <c r="F15" s="10">
        <f>ROUND(AVERAGE('Data Mentah'!M6:M110),2)</f>
        <v>117.28</v>
      </c>
      <c r="G15" s="10">
        <f>ROUND(STDEV('Data Mentah'!M6:M110),2)</f>
        <v>12.06</v>
      </c>
      <c r="H15" s="7" t="s">
        <v>139</v>
      </c>
    </row>
    <row r="16" spans="1:8" ht="29" x14ac:dyDescent="0.35">
      <c r="A16" s="6">
        <v>12</v>
      </c>
      <c r="B16" s="11" t="s">
        <v>16</v>
      </c>
      <c r="C16" s="10">
        <f>COUNT('Data Mentah'!N6:N110)</f>
        <v>105</v>
      </c>
      <c r="D16" s="10">
        <f>MIN('Data Mentah'!N6:N110)</f>
        <v>37</v>
      </c>
      <c r="E16" s="10">
        <f>MAX('Data Mentah'!N6:N110)</f>
        <v>143</v>
      </c>
      <c r="F16" s="10">
        <f>ROUND(AVERAGE('Data Mentah'!N6:N110),2)</f>
        <v>119.21</v>
      </c>
      <c r="G16" s="10">
        <f>ROUND(STDEV('Data Mentah'!N6:N110),2)</f>
        <v>14.45</v>
      </c>
      <c r="H16" s="7" t="s">
        <v>140</v>
      </c>
    </row>
    <row r="17" spans="1:8" ht="29" x14ac:dyDescent="0.35">
      <c r="A17" s="6">
        <v>13</v>
      </c>
      <c r="B17" s="11" t="s">
        <v>17</v>
      </c>
      <c r="C17" s="10">
        <f>COUNT('Data Mentah'!O6:O110)</f>
        <v>105</v>
      </c>
      <c r="D17" s="10">
        <f>MIN('Data Mentah'!O6:O110)</f>
        <v>71</v>
      </c>
      <c r="E17" s="10">
        <f>MAX('Data Mentah'!O6:O110)</f>
        <v>152</v>
      </c>
      <c r="F17" s="10">
        <f>ROUND(AVERAGE('Data Mentah'!O6:O110),2)</f>
        <v>117.43</v>
      </c>
      <c r="G17" s="10">
        <f>ROUND(STDEV('Data Mentah'!O6:O110),2)</f>
        <v>13.79</v>
      </c>
      <c r="H17" s="7" t="s">
        <v>141</v>
      </c>
    </row>
    <row r="18" spans="1:8" ht="29" x14ac:dyDescent="0.35">
      <c r="A18" s="6">
        <v>14</v>
      </c>
      <c r="B18" s="11" t="s">
        <v>18</v>
      </c>
      <c r="C18" s="10">
        <f>COUNT('Data Mentah'!P6:P110)</f>
        <v>105</v>
      </c>
      <c r="D18" s="10">
        <f>MIN('Data Mentah'!P6:P110)</f>
        <v>60</v>
      </c>
      <c r="E18" s="10">
        <f>MAX('Data Mentah'!P6:P110)</f>
        <v>138</v>
      </c>
      <c r="F18" s="10">
        <f>ROUND(AVERAGE('Data Mentah'!P6:P110),2)</f>
        <v>118.93</v>
      </c>
      <c r="G18" s="10">
        <f>ROUND(STDEV('Data Mentah'!P6:P110),2)</f>
        <v>11.16</v>
      </c>
      <c r="H18" s="7" t="s">
        <v>142</v>
      </c>
    </row>
    <row r="19" spans="1:8" x14ac:dyDescent="0.35">
      <c r="A19" s="6">
        <v>15</v>
      </c>
      <c r="B19" s="9" t="s">
        <v>19</v>
      </c>
      <c r="C19" s="10">
        <f>COUNT('Data Mentah'!Q6:Q110)</f>
        <v>105</v>
      </c>
      <c r="D19" s="10">
        <f>MIN('Data Mentah'!Q6:Q110)</f>
        <v>71</v>
      </c>
      <c r="E19" s="10">
        <f>MAX('Data Mentah'!Q6:Q110)</f>
        <v>147</v>
      </c>
      <c r="F19" s="10">
        <f>ROUND(AVERAGE('Data Mentah'!Q6:Q110),2)</f>
        <v>122</v>
      </c>
      <c r="G19" s="10">
        <f>ROUND(STDEV('Data Mentah'!Q6:Q110),2)</f>
        <v>10.62</v>
      </c>
      <c r="H19" s="7" t="s">
        <v>135</v>
      </c>
    </row>
    <row r="20" spans="1:8" x14ac:dyDescent="0.35">
      <c r="A20" s="6">
        <v>16</v>
      </c>
      <c r="B20" s="9" t="s">
        <v>20</v>
      </c>
      <c r="C20" s="10">
        <f>COUNT('Data Mentah'!R6:R110)</f>
        <v>105</v>
      </c>
      <c r="D20" s="10">
        <f>MIN('Data Mentah'!R6:R110)</f>
        <v>74</v>
      </c>
      <c r="E20" s="10">
        <f>MAX('Data Mentah'!R6:R110)</f>
        <v>140</v>
      </c>
      <c r="F20" s="10">
        <f>ROUND(AVERAGE('Data Mentah'!R6:R110),2)</f>
        <v>118.36</v>
      </c>
      <c r="G20" s="10">
        <f>ROUND(STDEV('Data Mentah'!R6:R110),2)</f>
        <v>9.68</v>
      </c>
      <c r="H20" s="7" t="s">
        <v>135</v>
      </c>
    </row>
  </sheetData>
  <mergeCells count="2">
    <mergeCell ref="A1:G1"/>
    <mergeCell ref="A2:G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1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4" customWidth="1"/>
    <col min="2" max="2" width="26" customWidth="1"/>
    <col min="3" max="3" width="24" customWidth="1"/>
    <col min="4" max="4" width="22" customWidth="1"/>
    <col min="5" max="5" width="12" customWidth="1"/>
  </cols>
  <sheetData>
    <row r="1" spans="1:5" ht="18" x14ac:dyDescent="0.4">
      <c r="A1" s="3" t="s">
        <v>143</v>
      </c>
      <c r="B1" s="3"/>
      <c r="C1" s="3"/>
      <c r="D1" s="3"/>
      <c r="E1" s="3"/>
    </row>
    <row r="2" spans="1:5" ht="22.4" customHeight="1" x14ac:dyDescent="0.35">
      <c r="A2" s="4" t="s">
        <v>144</v>
      </c>
      <c r="B2" s="4"/>
      <c r="C2" s="4"/>
      <c r="D2" s="4"/>
      <c r="E2" s="4"/>
    </row>
    <row r="4" spans="1:5" ht="26" x14ac:dyDescent="0.35">
      <c r="A4" s="5" t="s">
        <v>0</v>
      </c>
      <c r="B4" s="5" t="s">
        <v>145</v>
      </c>
      <c r="C4" s="5" t="s">
        <v>146</v>
      </c>
      <c r="D4" s="5" t="s">
        <v>147</v>
      </c>
      <c r="E4" s="5" t="s">
        <v>148</v>
      </c>
    </row>
    <row r="5" spans="1:5" x14ac:dyDescent="0.35">
      <c r="A5" s="6">
        <v>1</v>
      </c>
      <c r="B5" s="7" t="s">
        <v>12</v>
      </c>
      <c r="C5" s="7" t="s">
        <v>5</v>
      </c>
      <c r="D5" s="10">
        <f>SUMPRODUCT(--('Data Mentah'!J6:J110&lt;&gt;'Data Mentah'!C6:C110))</f>
        <v>0</v>
      </c>
      <c r="E5" s="10" t="str">
        <f t="shared" ref="E5:E11" si="0">IF(D5=0,"Identik","Berbeda")</f>
        <v>Identik</v>
      </c>
    </row>
    <row r="6" spans="1:5" x14ac:dyDescent="0.35">
      <c r="A6" s="6">
        <v>2</v>
      </c>
      <c r="B6" s="7" t="s">
        <v>13</v>
      </c>
      <c r="C6" s="7" t="s">
        <v>6</v>
      </c>
      <c r="D6" s="10">
        <f>SUMPRODUCT(--('Data Mentah'!K6:K110&lt;&gt;'Data Mentah'!D6:D110))</f>
        <v>0</v>
      </c>
      <c r="E6" s="10" t="str">
        <f t="shared" si="0"/>
        <v>Identik</v>
      </c>
    </row>
    <row r="7" spans="1:5" x14ac:dyDescent="0.35">
      <c r="A7" s="6">
        <v>3</v>
      </c>
      <c r="B7" s="7" t="s">
        <v>14</v>
      </c>
      <c r="C7" s="7" t="s">
        <v>7</v>
      </c>
      <c r="D7" s="10">
        <f>SUMPRODUCT(--('Data Mentah'!L6:L110&lt;&gt;'Data Mentah'!E6:E110))</f>
        <v>0</v>
      </c>
      <c r="E7" s="10" t="str">
        <f t="shared" si="0"/>
        <v>Identik</v>
      </c>
    </row>
    <row r="8" spans="1:5" x14ac:dyDescent="0.35">
      <c r="A8" s="6">
        <v>4</v>
      </c>
      <c r="B8" s="7" t="s">
        <v>15</v>
      </c>
      <c r="C8" s="7" t="s">
        <v>8</v>
      </c>
      <c r="D8" s="10">
        <f>SUMPRODUCT(--('Data Mentah'!M6:M110&lt;&gt;'Data Mentah'!F6:F110))</f>
        <v>0</v>
      </c>
      <c r="E8" s="10" t="str">
        <f t="shared" si="0"/>
        <v>Identik</v>
      </c>
    </row>
    <row r="9" spans="1:5" x14ac:dyDescent="0.35">
      <c r="A9" s="6">
        <v>5</v>
      </c>
      <c r="B9" s="7" t="s">
        <v>16</v>
      </c>
      <c r="C9" s="7" t="s">
        <v>9</v>
      </c>
      <c r="D9" s="10">
        <f>SUMPRODUCT(--('Data Mentah'!N6:N110&lt;&gt;'Data Mentah'!G6:G110))</f>
        <v>0</v>
      </c>
      <c r="E9" s="10" t="str">
        <f t="shared" si="0"/>
        <v>Identik</v>
      </c>
    </row>
    <row r="10" spans="1:5" x14ac:dyDescent="0.35">
      <c r="A10" s="6">
        <v>6</v>
      </c>
      <c r="B10" s="7" t="s">
        <v>17</v>
      </c>
      <c r="C10" s="7" t="s">
        <v>10</v>
      </c>
      <c r="D10" s="10">
        <f>SUMPRODUCT(--('Data Mentah'!O6:O110&lt;&gt;'Data Mentah'!H6:H110))</f>
        <v>0</v>
      </c>
      <c r="E10" s="10" t="str">
        <f t="shared" si="0"/>
        <v>Identik</v>
      </c>
    </row>
    <row r="11" spans="1:5" x14ac:dyDescent="0.35">
      <c r="A11" s="6">
        <v>7</v>
      </c>
      <c r="B11" s="7" t="s">
        <v>18</v>
      </c>
      <c r="C11" s="7" t="s">
        <v>11</v>
      </c>
      <c r="D11" s="10">
        <f>SUMPRODUCT(--('Data Mentah'!P6:P110&lt;&gt;'Data Mentah'!I6:I110))</f>
        <v>0</v>
      </c>
      <c r="E11" s="10" t="str">
        <f t="shared" si="0"/>
        <v>Identik</v>
      </c>
    </row>
  </sheetData>
  <mergeCells count="2">
    <mergeCell ref="A1:E1"/>
    <mergeCell ref="A2:E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6"/>
  <sheetViews>
    <sheetView zoomScaleNormal="100" workbookViewId="0"/>
  </sheetViews>
  <sheetFormatPr defaultColWidth="8.6328125" defaultRowHeight="14.5" x14ac:dyDescent="0.35"/>
  <cols>
    <col min="1" max="1" width="24" customWidth="1"/>
    <col min="2" max="2" width="10" customWidth="1"/>
    <col min="3" max="3" width="14" customWidth="1"/>
    <col min="4" max="4" width="28" customWidth="1"/>
    <col min="5" max="5" width="15" customWidth="1"/>
  </cols>
  <sheetData>
    <row r="1" spans="1:5" ht="18" x14ac:dyDescent="0.4">
      <c r="A1" s="3" t="s">
        <v>149</v>
      </c>
      <c r="B1" s="3"/>
      <c r="C1" s="3"/>
      <c r="D1" s="3"/>
      <c r="E1" s="3"/>
    </row>
    <row r="3" spans="1:5" x14ac:dyDescent="0.35">
      <c r="A3" s="5" t="s">
        <v>150</v>
      </c>
      <c r="B3" s="5" t="s">
        <v>151</v>
      </c>
      <c r="C3" s="5" t="s">
        <v>152</v>
      </c>
      <c r="D3" s="5" t="s">
        <v>153</v>
      </c>
      <c r="E3" s="5" t="s">
        <v>154</v>
      </c>
    </row>
    <row r="4" spans="1:5" x14ac:dyDescent="0.35">
      <c r="A4" s="7" t="s">
        <v>155</v>
      </c>
      <c r="B4" s="6" t="s">
        <v>156</v>
      </c>
      <c r="C4" s="6" t="s">
        <v>157</v>
      </c>
      <c r="D4" s="6" t="str">
        <f>CONCATENATE('Data Mentah'!B6," - ",'Data Mentah'!B89)</f>
        <v>02/01/2023 - 05/08/2024</v>
      </c>
      <c r="E4" s="10">
        <f>1+84-1-0</f>
        <v>84</v>
      </c>
    </row>
    <row r="5" spans="1:5" x14ac:dyDescent="0.35">
      <c r="A5" s="7" t="s">
        <v>158</v>
      </c>
      <c r="B5" s="6" t="s">
        <v>159</v>
      </c>
      <c r="C5" s="6" t="s">
        <v>160</v>
      </c>
      <c r="D5" s="6" t="str">
        <f>CONCATENATE('Data Mentah'!B90," - ",'Data Mentah'!B110)</f>
        <v>12/08/2024 - 30/12/2024</v>
      </c>
      <c r="E5" s="10">
        <f>105-84</f>
        <v>21</v>
      </c>
    </row>
    <row r="6" spans="1:5" x14ac:dyDescent="0.35">
      <c r="A6" s="12" t="s">
        <v>161</v>
      </c>
      <c r="B6" s="13"/>
      <c r="C6" s="13"/>
      <c r="D6" s="13"/>
      <c r="E6" s="14">
        <f>E4+E5</f>
        <v>105</v>
      </c>
    </row>
  </sheetData>
  <mergeCells count="1">
    <mergeCell ref="A1:E1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21"/>
  <sheetViews>
    <sheetView tabSelected="1" zoomScaleNormal="100" workbookViewId="0">
      <pane xSplit="3" ySplit="7" topLeftCell="D17" activePane="bottomRight" state="frozen"/>
      <selection pane="topRight" activeCell="D1" sqref="D1"/>
      <selection pane="bottomLeft" activeCell="A8" sqref="A8"/>
      <selection pane="bottomRight" activeCell="S32" sqref="S32"/>
    </sheetView>
  </sheetViews>
  <sheetFormatPr defaultColWidth="8.6328125" defaultRowHeight="14.5" x14ac:dyDescent="0.35"/>
  <cols>
    <col min="1" max="1" width="9" customWidth="1"/>
    <col min="2" max="2" width="12" customWidth="1"/>
    <col min="3" max="3" width="9" customWidth="1"/>
    <col min="4" max="6" width="11" customWidth="1"/>
    <col min="7" max="8" width="10" customWidth="1"/>
    <col min="9" max="9" width="11" customWidth="1"/>
    <col min="10" max="10" width="10" customWidth="1"/>
  </cols>
  <sheetData>
    <row r="1" spans="1:10" ht="18" x14ac:dyDescent="0.4">
      <c r="A1" s="3" t="s">
        <v>162</v>
      </c>
      <c r="B1" s="3"/>
      <c r="C1" s="3"/>
      <c r="D1" s="3"/>
      <c r="E1" s="3"/>
      <c r="F1" s="3"/>
      <c r="G1" s="3"/>
      <c r="H1" s="3"/>
      <c r="I1" s="3"/>
      <c r="J1" s="3"/>
    </row>
    <row r="2" spans="1:10" ht="27.75" customHeight="1" x14ac:dyDescent="0.35">
      <c r="A2" s="4" t="s">
        <v>163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35">
      <c r="A4" s="15" t="s">
        <v>164</v>
      </c>
      <c r="B4" s="16" t="s">
        <v>5</v>
      </c>
      <c r="D4" s="15" t="s">
        <v>165</v>
      </c>
      <c r="E4" s="17">
        <v>0.9</v>
      </c>
      <c r="G4" s="15" t="s">
        <v>166</v>
      </c>
      <c r="H4" s="17">
        <v>0.1</v>
      </c>
    </row>
    <row r="5" spans="1:10" x14ac:dyDescent="0.35">
      <c r="A5" s="15" t="s">
        <v>167</v>
      </c>
      <c r="B5" s="18">
        <f>'Data Mentah'!C5</f>
        <v>11</v>
      </c>
      <c r="D5" s="15" t="s">
        <v>168</v>
      </c>
      <c r="E5" s="17">
        <v>0</v>
      </c>
    </row>
    <row r="7" spans="1:10" x14ac:dyDescent="0.35">
      <c r="A7" s="5" t="s">
        <v>169</v>
      </c>
      <c r="B7" s="5" t="s">
        <v>4</v>
      </c>
      <c r="C7" s="5" t="s">
        <v>170</v>
      </c>
      <c r="D7" s="5" t="s">
        <v>171</v>
      </c>
      <c r="E7" s="5" t="s">
        <v>172</v>
      </c>
      <c r="F7" s="5" t="s">
        <v>173</v>
      </c>
      <c r="G7" s="5" t="s">
        <v>174</v>
      </c>
      <c r="H7" s="5" t="s">
        <v>175</v>
      </c>
      <c r="I7" s="5" t="s">
        <v>176</v>
      </c>
      <c r="J7" s="5" t="s">
        <v>177</v>
      </c>
    </row>
    <row r="8" spans="1:10" x14ac:dyDescent="0.35">
      <c r="A8" s="6">
        <v>0</v>
      </c>
      <c r="B8" s="19" t="str">
        <f>'Data Mentah'!B5</f>
        <v>26/12/2022</v>
      </c>
      <c r="C8" s="19">
        <f>'Data Mentah'!C5</f>
        <v>11</v>
      </c>
      <c r="D8" s="10">
        <f>$B$5</f>
        <v>11</v>
      </c>
      <c r="E8" s="10">
        <f>$E$5</f>
        <v>0</v>
      </c>
    </row>
    <row r="9" spans="1:10" x14ac:dyDescent="0.35">
      <c r="A9" s="6">
        <v>1</v>
      </c>
      <c r="B9" s="19" t="str">
        <f>'Data Mentah'!B6</f>
        <v>02/01/2023</v>
      </c>
      <c r="C9" s="19">
        <f>'Data Mentah'!C6</f>
        <v>70</v>
      </c>
      <c r="D9" s="20">
        <f t="shared" ref="D9:D40" si="0">$E$4*C9+(1-$E$4)*(D8+E8)</f>
        <v>64.099999999999994</v>
      </c>
      <c r="E9" s="20">
        <f t="shared" ref="E9:E40" si="1">$H$4*(D9-D8)+(1-$H$4)*E8</f>
        <v>5.31</v>
      </c>
      <c r="F9" s="20">
        <f t="shared" ref="F9:F40" si="2">D8+E8</f>
        <v>11</v>
      </c>
      <c r="G9" s="20">
        <f t="shared" ref="G9:G40" si="3">C9-F9</f>
        <v>59</v>
      </c>
      <c r="H9" s="20">
        <f t="shared" ref="H9:H40" si="4">ABS(G9)</f>
        <v>59</v>
      </c>
      <c r="I9" s="21">
        <f t="shared" ref="I9:I40" si="5">G9^2</f>
        <v>3481</v>
      </c>
      <c r="J9" s="21">
        <f t="shared" ref="J9:J40" si="6">ABS(G9/C9)*100</f>
        <v>84.285714285714292</v>
      </c>
    </row>
    <row r="10" spans="1:10" x14ac:dyDescent="0.35">
      <c r="A10" s="6">
        <v>2</v>
      </c>
      <c r="B10" s="19" t="str">
        <f>'Data Mentah'!B7</f>
        <v>09/01/2023</v>
      </c>
      <c r="C10" s="19">
        <f>'Data Mentah'!C7</f>
        <v>90</v>
      </c>
      <c r="D10" s="20">
        <f t="shared" si="0"/>
        <v>87.941000000000003</v>
      </c>
      <c r="E10" s="20">
        <f t="shared" si="1"/>
        <v>7.1631000000000009</v>
      </c>
      <c r="F10" s="20">
        <f t="shared" si="2"/>
        <v>69.41</v>
      </c>
      <c r="G10" s="20">
        <f t="shared" si="3"/>
        <v>20.590000000000003</v>
      </c>
      <c r="H10" s="20">
        <f t="shared" si="4"/>
        <v>20.590000000000003</v>
      </c>
      <c r="I10" s="21">
        <f t="shared" si="5"/>
        <v>423.94810000000012</v>
      </c>
      <c r="J10" s="21">
        <f t="shared" si="6"/>
        <v>22.87777777777778</v>
      </c>
    </row>
    <row r="11" spans="1:10" x14ac:dyDescent="0.35">
      <c r="A11" s="6">
        <v>3</v>
      </c>
      <c r="B11" s="19" t="str">
        <f>'Data Mentah'!B8</f>
        <v>16/01/2023</v>
      </c>
      <c r="C11" s="19">
        <f>'Data Mentah'!C8</f>
        <v>101</v>
      </c>
      <c r="D11" s="20">
        <f t="shared" si="0"/>
        <v>100.41041</v>
      </c>
      <c r="E11" s="20">
        <f t="shared" si="1"/>
        <v>7.6937310000000005</v>
      </c>
      <c r="F11" s="20">
        <f t="shared" si="2"/>
        <v>95.104100000000003</v>
      </c>
      <c r="G11" s="20">
        <f t="shared" si="3"/>
        <v>5.8958999999999975</v>
      </c>
      <c r="H11" s="20">
        <f t="shared" si="4"/>
        <v>5.8958999999999975</v>
      </c>
      <c r="I11" s="21">
        <f t="shared" si="5"/>
        <v>34.76163680999997</v>
      </c>
      <c r="J11" s="21">
        <f t="shared" si="6"/>
        <v>5.8375247524752449</v>
      </c>
    </row>
    <row r="12" spans="1:10" x14ac:dyDescent="0.35">
      <c r="A12" s="6">
        <v>4</v>
      </c>
      <c r="B12" s="19" t="str">
        <f>'Data Mentah'!B9</f>
        <v>23/01/2023</v>
      </c>
      <c r="C12" s="19">
        <f>'Data Mentah'!C9</f>
        <v>124</v>
      </c>
      <c r="D12" s="20">
        <f t="shared" si="0"/>
        <v>122.41041410000001</v>
      </c>
      <c r="E12" s="20">
        <f t="shared" si="1"/>
        <v>9.1243583100000016</v>
      </c>
      <c r="F12" s="20">
        <f t="shared" si="2"/>
        <v>108.104141</v>
      </c>
      <c r="G12" s="20">
        <f t="shared" si="3"/>
        <v>15.895859000000002</v>
      </c>
      <c r="H12" s="20">
        <f t="shared" si="4"/>
        <v>15.895859000000002</v>
      </c>
      <c r="I12" s="21">
        <f t="shared" si="5"/>
        <v>252.67833334788105</v>
      </c>
      <c r="J12" s="21">
        <f t="shared" si="6"/>
        <v>12.81924112903226</v>
      </c>
    </row>
    <row r="13" spans="1:10" x14ac:dyDescent="0.35">
      <c r="A13" s="6">
        <v>5</v>
      </c>
      <c r="B13" s="19" t="str">
        <f>'Data Mentah'!B10</f>
        <v>30/01/2023</v>
      </c>
      <c r="C13" s="19">
        <f>'Data Mentah'!C10</f>
        <v>128</v>
      </c>
      <c r="D13" s="20">
        <f t="shared" si="0"/>
        <v>128.35347724100001</v>
      </c>
      <c r="E13" s="20">
        <f t="shared" si="1"/>
        <v>8.8062287931000007</v>
      </c>
      <c r="F13" s="20">
        <f t="shared" si="2"/>
        <v>131.53477241000002</v>
      </c>
      <c r="G13" s="20">
        <f t="shared" si="3"/>
        <v>-3.5347724100000164</v>
      </c>
      <c r="H13" s="20">
        <f t="shared" si="4"/>
        <v>3.5347724100000164</v>
      </c>
      <c r="I13" s="21">
        <f t="shared" si="5"/>
        <v>12.494615990497325</v>
      </c>
      <c r="J13" s="21">
        <f t="shared" si="6"/>
        <v>2.7615409453125128</v>
      </c>
    </row>
    <row r="14" spans="1:10" x14ac:dyDescent="0.35">
      <c r="A14" s="6">
        <v>6</v>
      </c>
      <c r="B14" s="19" t="str">
        <f>'Data Mentah'!B11</f>
        <v>06/02/2023</v>
      </c>
      <c r="C14" s="19">
        <f>'Data Mentah'!C11</f>
        <v>130</v>
      </c>
      <c r="D14" s="20">
        <f t="shared" si="0"/>
        <v>130.71597060341</v>
      </c>
      <c r="E14" s="20">
        <f t="shared" si="1"/>
        <v>8.1618552500309995</v>
      </c>
      <c r="F14" s="20">
        <f t="shared" si="2"/>
        <v>137.1597060341</v>
      </c>
      <c r="G14" s="20">
        <f t="shared" si="3"/>
        <v>-7.1597060340999974</v>
      </c>
      <c r="H14" s="20">
        <f t="shared" si="4"/>
        <v>7.1597060340999974</v>
      </c>
      <c r="I14" s="21">
        <f t="shared" si="5"/>
        <v>51.261390494727912</v>
      </c>
      <c r="J14" s="21">
        <f t="shared" si="6"/>
        <v>5.5074661800769213</v>
      </c>
    </row>
    <row r="15" spans="1:10" x14ac:dyDescent="0.35">
      <c r="A15" s="6">
        <v>7</v>
      </c>
      <c r="B15" s="19" t="str">
        <f>'Data Mentah'!B12</f>
        <v>13/02/2023</v>
      </c>
      <c r="C15" s="19">
        <f>'Data Mentah'!C12</f>
        <v>125</v>
      </c>
      <c r="D15" s="20">
        <f t="shared" si="0"/>
        <v>126.3877825853441</v>
      </c>
      <c r="E15" s="20">
        <f t="shared" si="1"/>
        <v>6.9128509232213098</v>
      </c>
      <c r="F15" s="20">
        <f t="shared" si="2"/>
        <v>138.87782585344101</v>
      </c>
      <c r="G15" s="20">
        <f t="shared" si="3"/>
        <v>-13.87782585344101</v>
      </c>
      <c r="H15" s="20">
        <f t="shared" si="4"/>
        <v>13.87782585344101</v>
      </c>
      <c r="I15" s="21">
        <f t="shared" si="5"/>
        <v>192.5940504184357</v>
      </c>
      <c r="J15" s="21">
        <f t="shared" si="6"/>
        <v>11.102260682752808</v>
      </c>
    </row>
    <row r="16" spans="1:10" x14ac:dyDescent="0.35">
      <c r="A16" s="6">
        <v>8</v>
      </c>
      <c r="B16" s="19" t="str">
        <f>'Data Mentah'!B13</f>
        <v>20/02/2023</v>
      </c>
      <c r="C16" s="19">
        <f>'Data Mentah'!C13</f>
        <v>131</v>
      </c>
      <c r="D16" s="20">
        <f t="shared" si="0"/>
        <v>131.23006335085654</v>
      </c>
      <c r="E16" s="20">
        <f t="shared" si="1"/>
        <v>6.7057939074504231</v>
      </c>
      <c r="F16" s="20">
        <f t="shared" si="2"/>
        <v>133.3006335085654</v>
      </c>
      <c r="G16" s="20">
        <f t="shared" si="3"/>
        <v>-2.3006335085653973</v>
      </c>
      <c r="H16" s="20">
        <f t="shared" si="4"/>
        <v>2.3006335085653973</v>
      </c>
      <c r="I16" s="21">
        <f t="shared" si="5"/>
        <v>5.2929145407339302</v>
      </c>
      <c r="J16" s="21">
        <f t="shared" si="6"/>
        <v>1.7562087851644255</v>
      </c>
    </row>
    <row r="17" spans="1:10" x14ac:dyDescent="0.35">
      <c r="A17" s="6">
        <v>9</v>
      </c>
      <c r="B17" s="19" t="str">
        <f>'Data Mentah'!B14</f>
        <v>27/02/2023</v>
      </c>
      <c r="C17" s="19">
        <f>'Data Mentah'!C14</f>
        <v>121</v>
      </c>
      <c r="D17" s="20">
        <f t="shared" si="0"/>
        <v>122.6935857258307</v>
      </c>
      <c r="E17" s="20">
        <f t="shared" si="1"/>
        <v>5.1815667542027963</v>
      </c>
      <c r="F17" s="20">
        <f t="shared" si="2"/>
        <v>137.93585725830695</v>
      </c>
      <c r="G17" s="20">
        <f t="shared" si="3"/>
        <v>-16.935857258306953</v>
      </c>
      <c r="H17" s="20">
        <f t="shared" si="4"/>
        <v>16.935857258306953</v>
      </c>
      <c r="I17" s="21">
        <f t="shared" si="5"/>
        <v>286.82326107374831</v>
      </c>
      <c r="J17" s="21">
        <f t="shared" si="6"/>
        <v>13.996576246534673</v>
      </c>
    </row>
    <row r="18" spans="1:10" x14ac:dyDescent="0.35">
      <c r="A18" s="6">
        <v>10</v>
      </c>
      <c r="B18" s="19" t="str">
        <f>'Data Mentah'!B15</f>
        <v>06/03/2023</v>
      </c>
      <c r="C18" s="19">
        <f>'Data Mentah'!C15</f>
        <v>110</v>
      </c>
      <c r="D18" s="20">
        <f t="shared" si="0"/>
        <v>111.78751524800334</v>
      </c>
      <c r="E18" s="20">
        <f t="shared" si="1"/>
        <v>3.5728030309997818</v>
      </c>
      <c r="F18" s="20">
        <f t="shared" si="2"/>
        <v>127.87515248003349</v>
      </c>
      <c r="G18" s="20">
        <f t="shared" si="3"/>
        <v>-17.875152480033492</v>
      </c>
      <c r="H18" s="20">
        <f t="shared" si="4"/>
        <v>17.875152480033492</v>
      </c>
      <c r="I18" s="21">
        <f t="shared" si="5"/>
        <v>319.52107618444751</v>
      </c>
      <c r="J18" s="21">
        <f t="shared" si="6"/>
        <v>16.250138618212265</v>
      </c>
    </row>
    <row r="19" spans="1:10" x14ac:dyDescent="0.35">
      <c r="A19" s="6">
        <v>11</v>
      </c>
      <c r="B19" s="19" t="str">
        <f>'Data Mentah'!B16</f>
        <v>13/03/2023</v>
      </c>
      <c r="C19" s="19">
        <f>'Data Mentah'!C16</f>
        <v>107</v>
      </c>
      <c r="D19" s="20">
        <f t="shared" si="0"/>
        <v>107.83603182790031</v>
      </c>
      <c r="E19" s="20">
        <f t="shared" si="1"/>
        <v>2.8203743858895005</v>
      </c>
      <c r="F19" s="20">
        <f t="shared" si="2"/>
        <v>115.36031827900312</v>
      </c>
      <c r="G19" s="20">
        <f t="shared" si="3"/>
        <v>-8.3603182790031241</v>
      </c>
      <c r="H19" s="20">
        <f t="shared" si="4"/>
        <v>8.3603182790031241</v>
      </c>
      <c r="I19" s="21">
        <f t="shared" si="5"/>
        <v>69.894921726233761</v>
      </c>
      <c r="J19" s="21">
        <f t="shared" si="6"/>
        <v>7.8133815691617983</v>
      </c>
    </row>
    <row r="20" spans="1:10" x14ac:dyDescent="0.35">
      <c r="A20" s="6">
        <v>12</v>
      </c>
      <c r="B20" s="19" t="str">
        <f>'Data Mentah'!B17</f>
        <v>20/03/2023</v>
      </c>
      <c r="C20" s="19">
        <f>'Data Mentah'!C17</f>
        <v>106</v>
      </c>
      <c r="D20" s="20">
        <f t="shared" si="0"/>
        <v>106.46564062137898</v>
      </c>
      <c r="E20" s="20">
        <f t="shared" si="1"/>
        <v>2.4012978266484173</v>
      </c>
      <c r="F20" s="20">
        <f t="shared" si="2"/>
        <v>110.65640621378981</v>
      </c>
      <c r="G20" s="20">
        <f t="shared" si="3"/>
        <v>-4.6564062137898077</v>
      </c>
      <c r="H20" s="20">
        <f t="shared" si="4"/>
        <v>4.6564062137898077</v>
      </c>
      <c r="I20" s="21">
        <f t="shared" si="5"/>
        <v>21.682118827820332</v>
      </c>
      <c r="J20" s="21">
        <f t="shared" si="6"/>
        <v>4.3928360507451014</v>
      </c>
    </row>
    <row r="21" spans="1:10" x14ac:dyDescent="0.35">
      <c r="A21" s="6">
        <v>13</v>
      </c>
      <c r="B21" s="19" t="str">
        <f>'Data Mentah'!B18</f>
        <v>27/03/2023</v>
      </c>
      <c r="C21" s="19">
        <f>'Data Mentah'!C18</f>
        <v>116</v>
      </c>
      <c r="D21" s="20">
        <f t="shared" si="0"/>
        <v>115.28669384480274</v>
      </c>
      <c r="E21" s="20">
        <f t="shared" si="1"/>
        <v>3.0432733663259515</v>
      </c>
      <c r="F21" s="20">
        <f t="shared" si="2"/>
        <v>108.8669384480274</v>
      </c>
      <c r="G21" s="20">
        <f t="shared" si="3"/>
        <v>7.1330615519726024</v>
      </c>
      <c r="H21" s="20">
        <f t="shared" si="4"/>
        <v>7.1330615519726024</v>
      </c>
      <c r="I21" s="21">
        <f t="shared" si="5"/>
        <v>50.88056710422979</v>
      </c>
      <c r="J21" s="21">
        <f t="shared" si="6"/>
        <v>6.1491909930798299</v>
      </c>
    </row>
    <row r="22" spans="1:10" x14ac:dyDescent="0.35">
      <c r="A22" s="6">
        <v>14</v>
      </c>
      <c r="B22" s="19" t="str">
        <f>'Data Mentah'!B19</f>
        <v>03/04/2023</v>
      </c>
      <c r="C22" s="19">
        <f>'Data Mentah'!C19</f>
        <v>130</v>
      </c>
      <c r="D22" s="20">
        <f t="shared" si="0"/>
        <v>128.83299672111286</v>
      </c>
      <c r="E22" s="20">
        <f t="shared" si="1"/>
        <v>4.0935763173243691</v>
      </c>
      <c r="F22" s="20">
        <f t="shared" si="2"/>
        <v>118.32996721112869</v>
      </c>
      <c r="G22" s="20">
        <f t="shared" si="3"/>
        <v>11.67003278887131</v>
      </c>
      <c r="H22" s="20">
        <f t="shared" si="4"/>
        <v>11.67003278887131</v>
      </c>
      <c r="I22" s="21">
        <f t="shared" si="5"/>
        <v>136.1896652933315</v>
      </c>
      <c r="J22" s="21">
        <f t="shared" si="6"/>
        <v>8.9769482991317773</v>
      </c>
    </row>
    <row r="23" spans="1:10" x14ac:dyDescent="0.35">
      <c r="A23" s="6">
        <v>15</v>
      </c>
      <c r="B23" s="19" t="str">
        <f>'Data Mentah'!B20</f>
        <v>10/04/2023</v>
      </c>
      <c r="C23" s="19">
        <f>'Data Mentah'!C20</f>
        <v>130</v>
      </c>
      <c r="D23" s="20">
        <f t="shared" si="0"/>
        <v>130.29265730384373</v>
      </c>
      <c r="E23" s="20">
        <f t="shared" si="1"/>
        <v>3.8301847438650185</v>
      </c>
      <c r="F23" s="20">
        <f t="shared" si="2"/>
        <v>132.92657303843723</v>
      </c>
      <c r="G23" s="20">
        <f t="shared" si="3"/>
        <v>-2.9265730384372262</v>
      </c>
      <c r="H23" s="20">
        <f t="shared" si="4"/>
        <v>2.9265730384372262</v>
      </c>
      <c r="I23" s="21">
        <f t="shared" si="5"/>
        <v>8.5648297493076981</v>
      </c>
      <c r="J23" s="21">
        <f t="shared" si="6"/>
        <v>2.2512100295670971</v>
      </c>
    </row>
    <row r="24" spans="1:10" x14ac:dyDescent="0.35">
      <c r="A24" s="6">
        <v>16</v>
      </c>
      <c r="B24" s="19" t="str">
        <f>'Data Mentah'!B21</f>
        <v>17/04/2023</v>
      </c>
      <c r="C24" s="19">
        <f>'Data Mentah'!C21</f>
        <v>129</v>
      </c>
      <c r="D24" s="20">
        <f t="shared" si="0"/>
        <v>129.51228420477088</v>
      </c>
      <c r="E24" s="20">
        <f t="shared" si="1"/>
        <v>3.3691289595712317</v>
      </c>
      <c r="F24" s="20">
        <f t="shared" si="2"/>
        <v>134.12284204770873</v>
      </c>
      <c r="G24" s="20">
        <f t="shared" si="3"/>
        <v>-5.1228420477087298</v>
      </c>
      <c r="H24" s="20">
        <f t="shared" si="4"/>
        <v>5.1228420477087298</v>
      </c>
      <c r="I24" s="21">
        <f t="shared" si="5"/>
        <v>26.24351064577257</v>
      </c>
      <c r="J24" s="21">
        <f t="shared" si="6"/>
        <v>3.971195385820721</v>
      </c>
    </row>
    <row r="25" spans="1:10" x14ac:dyDescent="0.35">
      <c r="A25" s="6">
        <v>17</v>
      </c>
      <c r="B25" s="19" t="str">
        <f>'Data Mentah'!B22</f>
        <v>24/04/2023</v>
      </c>
      <c r="C25" s="19">
        <f>'Data Mentah'!C22</f>
        <v>110</v>
      </c>
      <c r="D25" s="20">
        <f t="shared" si="0"/>
        <v>112.28814131643421</v>
      </c>
      <c r="E25" s="20">
        <f t="shared" si="1"/>
        <v>1.3098017747804414</v>
      </c>
      <c r="F25" s="20">
        <f t="shared" si="2"/>
        <v>132.88141316434212</v>
      </c>
      <c r="G25" s="20">
        <f t="shared" si="3"/>
        <v>-22.881413164342121</v>
      </c>
      <c r="H25" s="20">
        <f t="shared" si="4"/>
        <v>22.881413164342121</v>
      </c>
      <c r="I25" s="21">
        <f t="shared" si="5"/>
        <v>523.55906839732893</v>
      </c>
      <c r="J25" s="21">
        <f t="shared" si="6"/>
        <v>20.801284694856474</v>
      </c>
    </row>
    <row r="26" spans="1:10" x14ac:dyDescent="0.35">
      <c r="A26" s="6">
        <v>18</v>
      </c>
      <c r="B26" s="19" t="str">
        <f>'Data Mentah'!B23</f>
        <v>01/05/2023</v>
      </c>
      <c r="C26" s="19">
        <f>'Data Mentah'!C23</f>
        <v>98</v>
      </c>
      <c r="D26" s="20">
        <f t="shared" si="0"/>
        <v>99.559794309121457</v>
      </c>
      <c r="E26" s="20">
        <f t="shared" si="1"/>
        <v>-9.4013103428877809E-2</v>
      </c>
      <c r="F26" s="20">
        <f t="shared" si="2"/>
        <v>113.59794309121465</v>
      </c>
      <c r="G26" s="20">
        <f t="shared" si="3"/>
        <v>-15.597943091214646</v>
      </c>
      <c r="H26" s="20">
        <f t="shared" si="4"/>
        <v>15.597943091214646</v>
      </c>
      <c r="I26" s="21">
        <f t="shared" si="5"/>
        <v>243.2958286767707</v>
      </c>
      <c r="J26" s="21">
        <f t="shared" si="6"/>
        <v>15.916268460423108</v>
      </c>
    </row>
    <row r="27" spans="1:10" x14ac:dyDescent="0.35">
      <c r="A27" s="6">
        <v>19</v>
      </c>
      <c r="B27" s="19" t="str">
        <f>'Data Mentah'!B24</f>
        <v>08/05/2023</v>
      </c>
      <c r="C27" s="19">
        <f>'Data Mentah'!C24</f>
        <v>103</v>
      </c>
      <c r="D27" s="20">
        <f t="shared" si="0"/>
        <v>102.64657812056926</v>
      </c>
      <c r="E27" s="20">
        <f t="shared" si="1"/>
        <v>0.22406658805879015</v>
      </c>
      <c r="F27" s="20">
        <f t="shared" si="2"/>
        <v>99.465781205692579</v>
      </c>
      <c r="G27" s="20">
        <f t="shared" si="3"/>
        <v>3.5342187943074208</v>
      </c>
      <c r="H27" s="20">
        <f t="shared" si="4"/>
        <v>3.5342187943074208</v>
      </c>
      <c r="I27" s="21">
        <f t="shared" si="5"/>
        <v>12.490702486035799</v>
      </c>
      <c r="J27" s="21">
        <f t="shared" si="6"/>
        <v>3.4312803828227385</v>
      </c>
    </row>
    <row r="28" spans="1:10" x14ac:dyDescent="0.35">
      <c r="A28" s="6">
        <v>20</v>
      </c>
      <c r="B28" s="19" t="str">
        <f>'Data Mentah'!B25</f>
        <v>15/05/2023</v>
      </c>
      <c r="C28" s="19">
        <f>'Data Mentah'!C25</f>
        <v>91</v>
      </c>
      <c r="D28" s="20">
        <f t="shared" si="0"/>
        <v>92.187064470862808</v>
      </c>
      <c r="E28" s="20">
        <f t="shared" si="1"/>
        <v>-0.84429143571773402</v>
      </c>
      <c r="F28" s="20">
        <f t="shared" si="2"/>
        <v>102.87064470862805</v>
      </c>
      <c r="G28" s="20">
        <f t="shared" si="3"/>
        <v>-11.870644708628049</v>
      </c>
      <c r="H28" s="20">
        <f t="shared" si="4"/>
        <v>11.870644708628049</v>
      </c>
      <c r="I28" s="21">
        <f t="shared" si="5"/>
        <v>140.91220579847911</v>
      </c>
      <c r="J28" s="21">
        <f t="shared" si="6"/>
        <v>13.044664514975878</v>
      </c>
    </row>
    <row r="29" spans="1:10" x14ac:dyDescent="0.35">
      <c r="A29" s="6">
        <v>21</v>
      </c>
      <c r="B29" s="19" t="str">
        <f>'Data Mentah'!B26</f>
        <v>22/05/2023</v>
      </c>
      <c r="C29" s="19">
        <f>'Data Mentah'!C26</f>
        <v>99</v>
      </c>
      <c r="D29" s="20">
        <f t="shared" si="0"/>
        <v>98.234277303514517</v>
      </c>
      <c r="E29" s="20">
        <f t="shared" si="1"/>
        <v>-0.15514100888078974</v>
      </c>
      <c r="F29" s="20">
        <f t="shared" si="2"/>
        <v>91.342773035145072</v>
      </c>
      <c r="G29" s="20">
        <f t="shared" si="3"/>
        <v>7.657226964854928</v>
      </c>
      <c r="H29" s="20">
        <f t="shared" si="4"/>
        <v>7.657226964854928</v>
      </c>
      <c r="I29" s="21">
        <f t="shared" si="5"/>
        <v>58.633124791301412</v>
      </c>
      <c r="J29" s="21">
        <f t="shared" si="6"/>
        <v>7.7345726917726552</v>
      </c>
    </row>
    <row r="30" spans="1:10" x14ac:dyDescent="0.35">
      <c r="A30" s="6">
        <v>22</v>
      </c>
      <c r="B30" s="19" t="str">
        <f>'Data Mentah'!B27</f>
        <v>29/05/2023</v>
      </c>
      <c r="C30" s="19">
        <f>'Data Mentah'!C27</f>
        <v>107</v>
      </c>
      <c r="D30" s="20">
        <f t="shared" si="0"/>
        <v>106.10791362946337</v>
      </c>
      <c r="E30" s="20">
        <f t="shared" si="1"/>
        <v>0.64773672460217435</v>
      </c>
      <c r="F30" s="20">
        <f t="shared" si="2"/>
        <v>98.079136294633727</v>
      </c>
      <c r="G30" s="20">
        <f t="shared" si="3"/>
        <v>8.9208637053662727</v>
      </c>
      <c r="H30" s="20">
        <f t="shared" si="4"/>
        <v>8.9208637053662727</v>
      </c>
      <c r="I30" s="21">
        <f t="shared" si="5"/>
        <v>79.58180924972126</v>
      </c>
      <c r="J30" s="21">
        <f t="shared" si="6"/>
        <v>8.3372557994077319</v>
      </c>
    </row>
    <row r="31" spans="1:10" x14ac:dyDescent="0.35">
      <c r="A31" s="6">
        <v>23</v>
      </c>
      <c r="B31" s="19" t="str">
        <f>'Data Mentah'!B28</f>
        <v>05/06/2023</v>
      </c>
      <c r="C31" s="19">
        <f>'Data Mentah'!C28</f>
        <v>102</v>
      </c>
      <c r="D31" s="20">
        <f t="shared" si="0"/>
        <v>102.47556503540655</v>
      </c>
      <c r="E31" s="20">
        <f t="shared" si="1"/>
        <v>0.21972819273627475</v>
      </c>
      <c r="F31" s="20">
        <f t="shared" si="2"/>
        <v>106.75565035406554</v>
      </c>
      <c r="G31" s="20">
        <f t="shared" si="3"/>
        <v>-4.755650354065537</v>
      </c>
      <c r="H31" s="20">
        <f t="shared" si="4"/>
        <v>4.755650354065537</v>
      </c>
      <c r="I31" s="21">
        <f t="shared" si="5"/>
        <v>22.616210290123668</v>
      </c>
      <c r="J31" s="21">
        <f t="shared" si="6"/>
        <v>4.6624023079073895</v>
      </c>
    </row>
    <row r="32" spans="1:10" x14ac:dyDescent="0.35">
      <c r="A32" s="6">
        <v>24</v>
      </c>
      <c r="B32" s="19" t="str">
        <f>'Data Mentah'!B29</f>
        <v>12/06/2023</v>
      </c>
      <c r="C32" s="19">
        <f>'Data Mentah'!C29</f>
        <v>110</v>
      </c>
      <c r="D32" s="20">
        <f t="shared" si="0"/>
        <v>109.26952932281428</v>
      </c>
      <c r="E32" s="20">
        <f t="shared" si="1"/>
        <v>0.87715180220342048</v>
      </c>
      <c r="F32" s="20">
        <f t="shared" si="2"/>
        <v>102.69529322814282</v>
      </c>
      <c r="G32" s="20">
        <f t="shared" si="3"/>
        <v>7.3047067718571839</v>
      </c>
      <c r="H32" s="20">
        <f t="shared" si="4"/>
        <v>7.3047067718571839</v>
      </c>
      <c r="I32" s="21">
        <f t="shared" si="5"/>
        <v>53.358741022816197</v>
      </c>
      <c r="J32" s="21">
        <f t="shared" si="6"/>
        <v>6.6406425198701671</v>
      </c>
    </row>
    <row r="33" spans="1:10" x14ac:dyDescent="0.35">
      <c r="A33" s="6">
        <v>25</v>
      </c>
      <c r="B33" s="19" t="str">
        <f>'Data Mentah'!B30</f>
        <v>19/06/2023</v>
      </c>
      <c r="C33" s="19">
        <f>'Data Mentah'!C30</f>
        <v>119</v>
      </c>
      <c r="D33" s="20">
        <f t="shared" si="0"/>
        <v>118.11466811250177</v>
      </c>
      <c r="E33" s="20">
        <f t="shared" si="1"/>
        <v>1.6739505009518281</v>
      </c>
      <c r="F33" s="20">
        <f t="shared" si="2"/>
        <v>110.14668112501769</v>
      </c>
      <c r="G33" s="20">
        <f t="shared" si="3"/>
        <v>8.8533188749823069</v>
      </c>
      <c r="H33" s="20">
        <f t="shared" si="4"/>
        <v>8.8533188749823069</v>
      </c>
      <c r="I33" s="21">
        <f t="shared" si="5"/>
        <v>78.381255102117976</v>
      </c>
      <c r="J33" s="21">
        <f t="shared" si="6"/>
        <v>7.439763760489333</v>
      </c>
    </row>
    <row r="34" spans="1:10" x14ac:dyDescent="0.35">
      <c r="A34" s="6">
        <v>26</v>
      </c>
      <c r="B34" s="19" t="str">
        <f>'Data Mentah'!B31</f>
        <v>26/06/2023</v>
      </c>
      <c r="C34" s="19">
        <f>'Data Mentah'!C31</f>
        <v>117</v>
      </c>
      <c r="D34" s="20">
        <f t="shared" si="0"/>
        <v>117.27886186134535</v>
      </c>
      <c r="E34" s="20">
        <f t="shared" si="1"/>
        <v>1.4229748257410024</v>
      </c>
      <c r="F34" s="20">
        <f t="shared" si="2"/>
        <v>119.78861861345361</v>
      </c>
      <c r="G34" s="20">
        <f t="shared" si="3"/>
        <v>-2.7886186134536075</v>
      </c>
      <c r="H34" s="20">
        <f t="shared" si="4"/>
        <v>2.7886186134536075</v>
      </c>
      <c r="I34" s="21">
        <f t="shared" si="5"/>
        <v>7.7763937712999205</v>
      </c>
      <c r="J34" s="21">
        <f t="shared" si="6"/>
        <v>2.3834347123535107</v>
      </c>
    </row>
    <row r="35" spans="1:10" x14ac:dyDescent="0.35">
      <c r="A35" s="6">
        <v>27</v>
      </c>
      <c r="B35" s="19" t="str">
        <f>'Data Mentah'!B32</f>
        <v>03/07/2023</v>
      </c>
      <c r="C35" s="19">
        <f>'Data Mentah'!C32</f>
        <v>118</v>
      </c>
      <c r="D35" s="20">
        <f t="shared" si="0"/>
        <v>118.07018366870864</v>
      </c>
      <c r="E35" s="20">
        <f t="shared" si="1"/>
        <v>1.3598095239032313</v>
      </c>
      <c r="F35" s="20">
        <f t="shared" si="2"/>
        <v>118.70183668708636</v>
      </c>
      <c r="G35" s="20">
        <f t="shared" si="3"/>
        <v>-0.70183668708635594</v>
      </c>
      <c r="H35" s="20">
        <f t="shared" si="4"/>
        <v>0.70183668708635594</v>
      </c>
      <c r="I35" s="21">
        <f t="shared" si="5"/>
        <v>0.49257473534035151</v>
      </c>
      <c r="J35" s="21">
        <f t="shared" si="6"/>
        <v>0.59477685346301357</v>
      </c>
    </row>
    <row r="36" spans="1:10" x14ac:dyDescent="0.35">
      <c r="A36" s="6">
        <v>28</v>
      </c>
      <c r="B36" s="19" t="str">
        <f>'Data Mentah'!B33</f>
        <v>10/07/2023</v>
      </c>
      <c r="C36" s="19">
        <f>'Data Mentah'!C33</f>
        <v>115</v>
      </c>
      <c r="D36" s="20">
        <f t="shared" si="0"/>
        <v>115.44299931926119</v>
      </c>
      <c r="E36" s="20">
        <f t="shared" si="1"/>
        <v>0.96111013656816358</v>
      </c>
      <c r="F36" s="20">
        <f t="shared" si="2"/>
        <v>119.42999319261187</v>
      </c>
      <c r="G36" s="20">
        <f t="shared" si="3"/>
        <v>-4.4299931926118745</v>
      </c>
      <c r="H36" s="20">
        <f t="shared" si="4"/>
        <v>4.4299931926118745</v>
      </c>
      <c r="I36" s="21">
        <f t="shared" si="5"/>
        <v>19.624839686587549</v>
      </c>
      <c r="J36" s="21">
        <f t="shared" si="6"/>
        <v>3.8521679935755428</v>
      </c>
    </row>
    <row r="37" spans="1:10" x14ac:dyDescent="0.35">
      <c r="A37" s="6">
        <v>29</v>
      </c>
      <c r="B37" s="19" t="str">
        <f>'Data Mentah'!B34</f>
        <v>17/07/2023</v>
      </c>
      <c r="C37" s="19">
        <f>'Data Mentah'!C34</f>
        <v>120</v>
      </c>
      <c r="D37" s="20">
        <f t="shared" si="0"/>
        <v>119.64041094558293</v>
      </c>
      <c r="E37" s="20">
        <f t="shared" si="1"/>
        <v>1.284740285543521</v>
      </c>
      <c r="F37" s="20">
        <f t="shared" si="2"/>
        <v>116.40410945582936</v>
      </c>
      <c r="G37" s="20">
        <f t="shared" si="3"/>
        <v>3.5958905441706435</v>
      </c>
      <c r="H37" s="20">
        <f t="shared" si="4"/>
        <v>3.5958905441706435</v>
      </c>
      <c r="I37" s="21">
        <f t="shared" si="5"/>
        <v>12.930428805655847</v>
      </c>
      <c r="J37" s="21">
        <f t="shared" si="6"/>
        <v>2.9965754534755362</v>
      </c>
    </row>
    <row r="38" spans="1:10" x14ac:dyDescent="0.35">
      <c r="A38" s="6">
        <v>30</v>
      </c>
      <c r="B38" s="19" t="str">
        <f>'Data Mentah'!B35</f>
        <v>24/07/2023</v>
      </c>
      <c r="C38" s="19">
        <f>'Data Mentah'!C35</f>
        <v>117</v>
      </c>
      <c r="D38" s="20">
        <f t="shared" si="0"/>
        <v>117.39251512311264</v>
      </c>
      <c r="E38" s="20">
        <f t="shared" si="1"/>
        <v>0.93147667474214069</v>
      </c>
      <c r="F38" s="20">
        <f t="shared" si="2"/>
        <v>120.92515123112645</v>
      </c>
      <c r="G38" s="20">
        <f t="shared" si="3"/>
        <v>-3.9251512311264491</v>
      </c>
      <c r="H38" s="20">
        <f t="shared" si="4"/>
        <v>3.9251512311264491</v>
      </c>
      <c r="I38" s="21">
        <f t="shared" si="5"/>
        <v>15.406812187213479</v>
      </c>
      <c r="J38" s="21">
        <f t="shared" si="6"/>
        <v>3.3548301120738881</v>
      </c>
    </row>
    <row r="39" spans="1:10" x14ac:dyDescent="0.35">
      <c r="A39" s="6">
        <v>31</v>
      </c>
      <c r="B39" s="19" t="str">
        <f>'Data Mentah'!B36</f>
        <v>31/07/2023</v>
      </c>
      <c r="C39" s="19">
        <f>'Data Mentah'!C36</f>
        <v>117</v>
      </c>
      <c r="D39" s="20">
        <f t="shared" si="0"/>
        <v>117.13239917978547</v>
      </c>
      <c r="E39" s="20">
        <f t="shared" si="1"/>
        <v>0.81231741293520865</v>
      </c>
      <c r="F39" s="20">
        <f t="shared" si="2"/>
        <v>118.32399179785479</v>
      </c>
      <c r="G39" s="20">
        <f t="shared" si="3"/>
        <v>-1.3239917978547879</v>
      </c>
      <c r="H39" s="20">
        <f t="shared" si="4"/>
        <v>1.3239917978547879</v>
      </c>
      <c r="I39" s="21">
        <f t="shared" si="5"/>
        <v>1.7529542807867535</v>
      </c>
      <c r="J39" s="21">
        <f t="shared" si="6"/>
        <v>1.1316169212434084</v>
      </c>
    </row>
    <row r="40" spans="1:10" x14ac:dyDescent="0.35">
      <c r="A40" s="6">
        <v>32</v>
      </c>
      <c r="B40" s="19" t="str">
        <f>'Data Mentah'!B37</f>
        <v>07/08/2023</v>
      </c>
      <c r="C40" s="19">
        <f>'Data Mentah'!C37</f>
        <v>119</v>
      </c>
      <c r="D40" s="20">
        <f t="shared" si="0"/>
        <v>118.89447165927207</v>
      </c>
      <c r="E40" s="20">
        <f t="shared" si="1"/>
        <v>0.9072929195903483</v>
      </c>
      <c r="F40" s="20">
        <f t="shared" si="2"/>
        <v>117.94471659272068</v>
      </c>
      <c r="G40" s="20">
        <f t="shared" si="3"/>
        <v>1.0552834072793189</v>
      </c>
      <c r="H40" s="20">
        <f t="shared" si="4"/>
        <v>1.0552834072793189</v>
      </c>
      <c r="I40" s="21">
        <f t="shared" si="5"/>
        <v>1.1136230696790488</v>
      </c>
      <c r="J40" s="21">
        <f t="shared" si="6"/>
        <v>0.88679277922631838</v>
      </c>
    </row>
    <row r="41" spans="1:10" x14ac:dyDescent="0.35">
      <c r="A41" s="6">
        <v>33</v>
      </c>
      <c r="B41" s="19" t="str">
        <f>'Data Mentah'!B38</f>
        <v>14/08/2023</v>
      </c>
      <c r="C41" s="19">
        <f>'Data Mentah'!C38</f>
        <v>111</v>
      </c>
      <c r="D41" s="20">
        <f t="shared" ref="D41:D72" si="7">$E$4*C41+(1-$E$4)*(D40+E40)</f>
        <v>111.88017645788625</v>
      </c>
      <c r="E41" s="20">
        <f t="shared" ref="E41:E72" si="8">$H$4*(D41-D40)+(1-$H$4)*E40</f>
        <v>0.11513410749273145</v>
      </c>
      <c r="F41" s="20">
        <f t="shared" ref="F41:F72" si="9">D40+E40</f>
        <v>119.80176457886242</v>
      </c>
      <c r="G41" s="20">
        <f t="shared" ref="G41:G72" si="10">C41-F41</f>
        <v>-8.8017645788624179</v>
      </c>
      <c r="H41" s="20">
        <f t="shared" ref="H41:H72" si="11">ABS(G41)</f>
        <v>8.8017645788624179</v>
      </c>
      <c r="I41" s="21">
        <f t="shared" ref="I41:I72" si="12">G41^2</f>
        <v>77.471059701717124</v>
      </c>
      <c r="J41" s="21">
        <f t="shared" ref="J41:J72" si="13">ABS(G41/C41)*100</f>
        <v>7.9295176386147919</v>
      </c>
    </row>
    <row r="42" spans="1:10" x14ac:dyDescent="0.35">
      <c r="A42" s="6">
        <v>34</v>
      </c>
      <c r="B42" s="19" t="str">
        <f>'Data Mentah'!B39</f>
        <v>21/08/2023</v>
      </c>
      <c r="C42" s="19">
        <f>'Data Mentah'!C39</f>
        <v>116</v>
      </c>
      <c r="D42" s="20">
        <f t="shared" si="7"/>
        <v>115.5995310565379</v>
      </c>
      <c r="E42" s="20">
        <f t="shared" si="8"/>
        <v>0.47555615660862316</v>
      </c>
      <c r="F42" s="20">
        <f t="shared" si="9"/>
        <v>111.99531056537899</v>
      </c>
      <c r="G42" s="20">
        <f t="shared" si="10"/>
        <v>4.0046894346210138</v>
      </c>
      <c r="H42" s="20">
        <f t="shared" si="11"/>
        <v>4.0046894346210138</v>
      </c>
      <c r="I42" s="21">
        <f t="shared" si="12"/>
        <v>16.037537467765176</v>
      </c>
      <c r="J42" s="21">
        <f t="shared" si="13"/>
        <v>3.4523184781215641</v>
      </c>
    </row>
    <row r="43" spans="1:10" x14ac:dyDescent="0.35">
      <c r="A43" s="6">
        <v>35</v>
      </c>
      <c r="B43" s="19" t="str">
        <f>'Data Mentah'!B40</f>
        <v>28/08/2023</v>
      </c>
      <c r="C43" s="19">
        <f>'Data Mentah'!C40</f>
        <v>116</v>
      </c>
      <c r="D43" s="20">
        <f t="shared" si="7"/>
        <v>116.00750872131465</v>
      </c>
      <c r="E43" s="20">
        <f t="shared" si="8"/>
        <v>0.46879830742543604</v>
      </c>
      <c r="F43" s="20">
        <f t="shared" si="9"/>
        <v>116.07508721314652</v>
      </c>
      <c r="G43" s="20">
        <f t="shared" si="10"/>
        <v>-7.5087213146517229E-2</v>
      </c>
      <c r="H43" s="20">
        <f t="shared" si="11"/>
        <v>7.5087213146517229E-2</v>
      </c>
      <c r="I43" s="21">
        <f t="shared" si="12"/>
        <v>5.6380895781105098E-3</v>
      </c>
      <c r="J43" s="21">
        <f t="shared" si="13"/>
        <v>6.4730356160790717E-2</v>
      </c>
    </row>
    <row r="44" spans="1:10" x14ac:dyDescent="0.35">
      <c r="A44" s="6">
        <v>36</v>
      </c>
      <c r="B44" s="19" t="str">
        <f>'Data Mentah'!B41</f>
        <v>04/09/2023</v>
      </c>
      <c r="C44" s="19">
        <f>'Data Mentah'!C41</f>
        <v>115</v>
      </c>
      <c r="D44" s="20">
        <f t="shared" si="7"/>
        <v>115.14763070287401</v>
      </c>
      <c r="E44" s="20">
        <f t="shared" si="8"/>
        <v>0.33593067483882849</v>
      </c>
      <c r="F44" s="20">
        <f t="shared" si="9"/>
        <v>116.47630702874008</v>
      </c>
      <c r="G44" s="20">
        <f t="shared" si="10"/>
        <v>-1.4763070287400808</v>
      </c>
      <c r="H44" s="20">
        <f t="shared" si="11"/>
        <v>1.4763070287400808</v>
      </c>
      <c r="I44" s="21">
        <f t="shared" si="12"/>
        <v>2.1794824431073656</v>
      </c>
      <c r="J44" s="21">
        <f t="shared" si="13"/>
        <v>1.283745242382679</v>
      </c>
    </row>
    <row r="45" spans="1:10" x14ac:dyDescent="0.35">
      <c r="A45" s="6">
        <v>37</v>
      </c>
      <c r="B45" s="19" t="str">
        <f>'Data Mentah'!B42</f>
        <v>11/09/2023</v>
      </c>
      <c r="C45" s="19">
        <f>'Data Mentah'!C42</f>
        <v>111</v>
      </c>
      <c r="D45" s="20">
        <f t="shared" si="7"/>
        <v>111.44835613777128</v>
      </c>
      <c r="E45" s="20">
        <f t="shared" si="8"/>
        <v>-6.7589849155327009E-2</v>
      </c>
      <c r="F45" s="20">
        <f t="shared" si="9"/>
        <v>115.48356137771285</v>
      </c>
      <c r="G45" s="20">
        <f t="shared" si="10"/>
        <v>-4.4835613777128458</v>
      </c>
      <c r="H45" s="20">
        <f t="shared" si="11"/>
        <v>4.4835613777128458</v>
      </c>
      <c r="I45" s="21">
        <f t="shared" si="12"/>
        <v>20.102322627718312</v>
      </c>
      <c r="J45" s="21">
        <f t="shared" si="13"/>
        <v>4.0392444844259874</v>
      </c>
    </row>
    <row r="46" spans="1:10" x14ac:dyDescent="0.35">
      <c r="A46" s="6">
        <v>38</v>
      </c>
      <c r="B46" s="19" t="str">
        <f>'Data Mentah'!B43</f>
        <v>18/09/2023</v>
      </c>
      <c r="C46" s="19">
        <f>'Data Mentah'!C43</f>
        <v>110</v>
      </c>
      <c r="D46" s="20">
        <f t="shared" si="7"/>
        <v>110.1380766288616</v>
      </c>
      <c r="E46" s="20">
        <f t="shared" si="8"/>
        <v>-0.19185881513076303</v>
      </c>
      <c r="F46" s="20">
        <f t="shared" si="9"/>
        <v>111.38076628861596</v>
      </c>
      <c r="G46" s="20">
        <f t="shared" si="10"/>
        <v>-1.3807662886159591</v>
      </c>
      <c r="H46" s="20">
        <f t="shared" si="11"/>
        <v>1.3807662886159591</v>
      </c>
      <c r="I46" s="21">
        <f t="shared" si="12"/>
        <v>1.9065155437782899</v>
      </c>
      <c r="J46" s="21">
        <f t="shared" si="13"/>
        <v>1.2552420805599629</v>
      </c>
    </row>
    <row r="47" spans="1:10" x14ac:dyDescent="0.35">
      <c r="A47" s="6">
        <v>39</v>
      </c>
      <c r="B47" s="19" t="str">
        <f>'Data Mentah'!B44</f>
        <v>25/09/2023</v>
      </c>
      <c r="C47" s="19">
        <f>'Data Mentah'!C44</f>
        <v>113</v>
      </c>
      <c r="D47" s="20">
        <f t="shared" si="7"/>
        <v>112.69462178137309</v>
      </c>
      <c r="E47" s="20">
        <f t="shared" si="8"/>
        <v>8.2981581633462226E-2</v>
      </c>
      <c r="F47" s="20">
        <f t="shared" si="9"/>
        <v>109.94621781373084</v>
      </c>
      <c r="G47" s="20">
        <f t="shared" si="10"/>
        <v>3.0537821862691601</v>
      </c>
      <c r="H47" s="20">
        <f t="shared" si="11"/>
        <v>3.0537821862691601</v>
      </c>
      <c r="I47" s="21">
        <f t="shared" si="12"/>
        <v>9.3255856411748503</v>
      </c>
      <c r="J47" s="21">
        <f t="shared" si="13"/>
        <v>2.7024621117426197</v>
      </c>
    </row>
    <row r="48" spans="1:10" x14ac:dyDescent="0.35">
      <c r="A48" s="6">
        <v>40</v>
      </c>
      <c r="B48" s="19" t="str">
        <f>'Data Mentah'!B45</f>
        <v>02/10/2023</v>
      </c>
      <c r="C48" s="19">
        <f>'Data Mentah'!C45</f>
        <v>119</v>
      </c>
      <c r="D48" s="20">
        <f t="shared" si="7"/>
        <v>118.37776033630067</v>
      </c>
      <c r="E48" s="20">
        <f t="shared" si="8"/>
        <v>0.64299727896287417</v>
      </c>
      <c r="F48" s="20">
        <f t="shared" si="9"/>
        <v>112.77760336300655</v>
      </c>
      <c r="G48" s="20">
        <f t="shared" si="10"/>
        <v>6.2223966369934516</v>
      </c>
      <c r="H48" s="20">
        <f t="shared" si="11"/>
        <v>6.2223966369934516</v>
      </c>
      <c r="I48" s="21">
        <f t="shared" si="12"/>
        <v>38.718219908067418</v>
      </c>
      <c r="J48" s="21">
        <f t="shared" si="13"/>
        <v>5.2289047369692874</v>
      </c>
    </row>
    <row r="49" spans="1:10" x14ac:dyDescent="0.35">
      <c r="A49" s="6">
        <v>41</v>
      </c>
      <c r="B49" s="19" t="str">
        <f>'Data Mentah'!B46</f>
        <v>09/10/2023</v>
      </c>
      <c r="C49" s="19">
        <f>'Data Mentah'!C46</f>
        <v>116</v>
      </c>
      <c r="D49" s="20">
        <f t="shared" si="7"/>
        <v>116.30207576152635</v>
      </c>
      <c r="E49" s="20">
        <f t="shared" si="8"/>
        <v>0.37112909358915536</v>
      </c>
      <c r="F49" s="20">
        <f t="shared" si="9"/>
        <v>119.02075761526355</v>
      </c>
      <c r="G49" s="20">
        <f t="shared" si="10"/>
        <v>-3.0207576152635482</v>
      </c>
      <c r="H49" s="20">
        <f t="shared" si="11"/>
        <v>3.0207576152635482</v>
      </c>
      <c r="I49" s="21">
        <f t="shared" si="12"/>
        <v>9.1249765701727181</v>
      </c>
      <c r="J49" s="21">
        <f t="shared" si="13"/>
        <v>2.6041013924685759</v>
      </c>
    </row>
    <row r="50" spans="1:10" x14ac:dyDescent="0.35">
      <c r="A50" s="6">
        <v>42</v>
      </c>
      <c r="B50" s="19" t="str">
        <f>'Data Mentah'!B47</f>
        <v>16/10/2023</v>
      </c>
      <c r="C50" s="19">
        <f>'Data Mentah'!C47</f>
        <v>124</v>
      </c>
      <c r="D50" s="20">
        <f t="shared" si="7"/>
        <v>123.26732048551156</v>
      </c>
      <c r="E50" s="20">
        <f t="shared" si="8"/>
        <v>1.0305406566287607</v>
      </c>
      <c r="F50" s="20">
        <f t="shared" si="9"/>
        <v>116.67320485511551</v>
      </c>
      <c r="G50" s="20">
        <f t="shared" si="10"/>
        <v>7.3267951448844855</v>
      </c>
      <c r="H50" s="20">
        <f t="shared" si="11"/>
        <v>7.3267951448844855</v>
      </c>
      <c r="I50" s="21">
        <f t="shared" si="12"/>
        <v>53.681927095102871</v>
      </c>
      <c r="J50" s="21">
        <f t="shared" si="13"/>
        <v>5.908705762003617</v>
      </c>
    </row>
    <row r="51" spans="1:10" x14ac:dyDescent="0.35">
      <c r="A51" s="6">
        <v>43</v>
      </c>
      <c r="B51" s="19" t="str">
        <f>'Data Mentah'!B48</f>
        <v>23/10/2023</v>
      </c>
      <c r="C51" s="19">
        <f>'Data Mentah'!C48</f>
        <v>122</v>
      </c>
      <c r="D51" s="20">
        <f t="shared" si="7"/>
        <v>122.22978611421402</v>
      </c>
      <c r="E51" s="20">
        <f t="shared" si="8"/>
        <v>0.82373315383613077</v>
      </c>
      <c r="F51" s="20">
        <f t="shared" si="9"/>
        <v>124.29786114214032</v>
      </c>
      <c r="G51" s="20">
        <f t="shared" si="10"/>
        <v>-2.2978611421403201</v>
      </c>
      <c r="H51" s="20">
        <f t="shared" si="11"/>
        <v>2.2978611421403201</v>
      </c>
      <c r="I51" s="21">
        <f t="shared" si="12"/>
        <v>5.2801658285584168</v>
      </c>
      <c r="J51" s="21">
        <f t="shared" si="13"/>
        <v>1.8834927394592786</v>
      </c>
    </row>
    <row r="52" spans="1:10" x14ac:dyDescent="0.35">
      <c r="A52" s="6">
        <v>44</v>
      </c>
      <c r="B52" s="19" t="str">
        <f>'Data Mentah'!B49</f>
        <v>30/10/2023</v>
      </c>
      <c r="C52" s="19">
        <f>'Data Mentah'!C49</f>
        <v>119</v>
      </c>
      <c r="D52" s="20">
        <f t="shared" si="7"/>
        <v>119.40535192680503</v>
      </c>
      <c r="E52" s="20">
        <f t="shared" si="8"/>
        <v>0.45891641971161806</v>
      </c>
      <c r="F52" s="20">
        <f t="shared" si="9"/>
        <v>123.05351926805015</v>
      </c>
      <c r="G52" s="20">
        <f t="shared" si="10"/>
        <v>-4.0535192680501524</v>
      </c>
      <c r="H52" s="20">
        <f t="shared" si="11"/>
        <v>4.0535192680501524</v>
      </c>
      <c r="I52" s="21">
        <f t="shared" si="12"/>
        <v>16.431018456453842</v>
      </c>
      <c r="J52" s="21">
        <f t="shared" si="13"/>
        <v>3.4063187126471868</v>
      </c>
    </row>
    <row r="53" spans="1:10" x14ac:dyDescent="0.35">
      <c r="A53" s="6">
        <v>45</v>
      </c>
      <c r="B53" s="19" t="str">
        <f>'Data Mentah'!B50</f>
        <v>06/11/2023</v>
      </c>
      <c r="C53" s="19">
        <f>'Data Mentah'!C50</f>
        <v>126</v>
      </c>
      <c r="D53" s="20">
        <f t="shared" si="7"/>
        <v>125.38642683465167</v>
      </c>
      <c r="E53" s="20">
        <f t="shared" si="8"/>
        <v>1.0111322685251209</v>
      </c>
      <c r="F53" s="20">
        <f t="shared" si="9"/>
        <v>119.86426834651664</v>
      </c>
      <c r="G53" s="20">
        <f t="shared" si="10"/>
        <v>6.1357316534833615</v>
      </c>
      <c r="H53" s="20">
        <f t="shared" si="11"/>
        <v>6.1357316534833615</v>
      </c>
      <c r="I53" s="21">
        <f t="shared" si="12"/>
        <v>37.647202923557664</v>
      </c>
      <c r="J53" s="21">
        <f t="shared" si="13"/>
        <v>4.8696282964153657</v>
      </c>
    </row>
    <row r="54" spans="1:10" x14ac:dyDescent="0.35">
      <c r="A54" s="6">
        <v>46</v>
      </c>
      <c r="B54" s="19" t="str">
        <f>'Data Mentah'!B51</f>
        <v>13/11/2023</v>
      </c>
      <c r="C54" s="19">
        <f>'Data Mentah'!C51</f>
        <v>107</v>
      </c>
      <c r="D54" s="20">
        <f t="shared" si="7"/>
        <v>108.93975591031767</v>
      </c>
      <c r="E54" s="20">
        <f t="shared" si="8"/>
        <v>-0.73464805076079132</v>
      </c>
      <c r="F54" s="20">
        <f t="shared" si="9"/>
        <v>126.39755910317679</v>
      </c>
      <c r="G54" s="20">
        <f t="shared" si="10"/>
        <v>-19.397559103176789</v>
      </c>
      <c r="H54" s="20">
        <f t="shared" si="11"/>
        <v>19.397559103176789</v>
      </c>
      <c r="I54" s="21">
        <f t="shared" si="12"/>
        <v>376.26529916123673</v>
      </c>
      <c r="J54" s="21">
        <f t="shared" si="13"/>
        <v>18.128559909511019</v>
      </c>
    </row>
    <row r="55" spans="1:10" x14ac:dyDescent="0.35">
      <c r="A55" s="6">
        <v>47</v>
      </c>
      <c r="B55" s="19" t="str">
        <f>'Data Mentah'!B52</f>
        <v>20/11/2023</v>
      </c>
      <c r="C55" s="19">
        <f>'Data Mentah'!C52</f>
        <v>110</v>
      </c>
      <c r="D55" s="20">
        <f t="shared" si="7"/>
        <v>109.82051078595569</v>
      </c>
      <c r="E55" s="20">
        <f t="shared" si="8"/>
        <v>-0.5731077581209103</v>
      </c>
      <c r="F55" s="20">
        <f t="shared" si="9"/>
        <v>108.20510785955688</v>
      </c>
      <c r="G55" s="20">
        <f t="shared" si="10"/>
        <v>1.7948921404431246</v>
      </c>
      <c r="H55" s="20">
        <f t="shared" si="11"/>
        <v>1.7948921404431246</v>
      </c>
      <c r="I55" s="21">
        <f t="shared" si="12"/>
        <v>3.2216377958245013</v>
      </c>
      <c r="J55" s="21">
        <f t="shared" si="13"/>
        <v>1.6317201276755677</v>
      </c>
    </row>
    <row r="56" spans="1:10" x14ac:dyDescent="0.35">
      <c r="A56" s="6">
        <v>48</v>
      </c>
      <c r="B56" s="19" t="str">
        <f>'Data Mentah'!B53</f>
        <v>27/11/2023</v>
      </c>
      <c r="C56" s="19">
        <f>'Data Mentah'!C53</f>
        <v>118</v>
      </c>
      <c r="D56" s="20">
        <f t="shared" si="7"/>
        <v>117.12474030278348</v>
      </c>
      <c r="E56" s="20">
        <f t="shared" si="8"/>
        <v>0.21462596937395961</v>
      </c>
      <c r="F56" s="20">
        <f t="shared" si="9"/>
        <v>109.24740302783478</v>
      </c>
      <c r="G56" s="20">
        <f t="shared" si="10"/>
        <v>8.7525969721652217</v>
      </c>
      <c r="H56" s="20">
        <f t="shared" si="11"/>
        <v>8.7525969721652217</v>
      </c>
      <c r="I56" s="21">
        <f t="shared" si="12"/>
        <v>76.607953757155812</v>
      </c>
      <c r="J56" s="21">
        <f t="shared" si="13"/>
        <v>7.4174550611569678</v>
      </c>
    </row>
    <row r="57" spans="1:10" x14ac:dyDescent="0.35">
      <c r="A57" s="6">
        <v>49</v>
      </c>
      <c r="B57" s="19" t="str">
        <f>'Data Mentah'!B54</f>
        <v>04/12/2023</v>
      </c>
      <c r="C57" s="19">
        <f>'Data Mentah'!C54</f>
        <v>118</v>
      </c>
      <c r="D57" s="20">
        <f t="shared" si="7"/>
        <v>117.93393662721574</v>
      </c>
      <c r="E57" s="20">
        <f t="shared" si="8"/>
        <v>0.27408300487979009</v>
      </c>
      <c r="F57" s="20">
        <f t="shared" si="9"/>
        <v>117.33936627215743</v>
      </c>
      <c r="G57" s="20">
        <f t="shared" si="10"/>
        <v>0.66063372784256558</v>
      </c>
      <c r="H57" s="20">
        <f t="shared" si="11"/>
        <v>0.66063372784256558</v>
      </c>
      <c r="I57" s="21">
        <f t="shared" si="12"/>
        <v>0.436436922363165</v>
      </c>
      <c r="J57" s="21">
        <f t="shared" si="13"/>
        <v>0.55985909139200474</v>
      </c>
    </row>
    <row r="58" spans="1:10" x14ac:dyDescent="0.35">
      <c r="A58" s="6">
        <v>50</v>
      </c>
      <c r="B58" s="19" t="str">
        <f>'Data Mentah'!B55</f>
        <v>11/12/2023</v>
      </c>
      <c r="C58" s="19">
        <f>'Data Mentah'!C55</f>
        <v>119</v>
      </c>
      <c r="D58" s="20">
        <f t="shared" si="7"/>
        <v>118.92080196320956</v>
      </c>
      <c r="E58" s="20">
        <f t="shared" si="8"/>
        <v>0.34536123799119234</v>
      </c>
      <c r="F58" s="20">
        <f t="shared" si="9"/>
        <v>118.20801963209553</v>
      </c>
      <c r="G58" s="20">
        <f t="shared" si="10"/>
        <v>0.7919803679044719</v>
      </c>
      <c r="H58" s="20">
        <f t="shared" si="11"/>
        <v>0.7919803679044719</v>
      </c>
      <c r="I58" s="21">
        <f t="shared" si="12"/>
        <v>0.62723290314610269</v>
      </c>
      <c r="J58" s="21">
        <f t="shared" si="13"/>
        <v>0.66552972092812768</v>
      </c>
    </row>
    <row r="59" spans="1:10" x14ac:dyDescent="0.35">
      <c r="A59" s="6">
        <v>51</v>
      </c>
      <c r="B59" s="19" t="str">
        <f>'Data Mentah'!B56</f>
        <v>18/12/2023</v>
      </c>
      <c r="C59" s="19">
        <f>'Data Mentah'!C56</f>
        <v>116</v>
      </c>
      <c r="D59" s="20">
        <f t="shared" si="7"/>
        <v>116.32661632012008</v>
      </c>
      <c r="E59" s="20">
        <f t="shared" si="8"/>
        <v>5.1406549883125652E-2</v>
      </c>
      <c r="F59" s="20">
        <f t="shared" si="9"/>
        <v>119.26616320120075</v>
      </c>
      <c r="G59" s="20">
        <f t="shared" si="10"/>
        <v>-3.2661632012007544</v>
      </c>
      <c r="H59" s="20">
        <f t="shared" si="11"/>
        <v>3.2661632012007544</v>
      </c>
      <c r="I59" s="21">
        <f t="shared" si="12"/>
        <v>10.667822056877959</v>
      </c>
      <c r="J59" s="21">
        <f t="shared" si="13"/>
        <v>2.815657932069616</v>
      </c>
    </row>
    <row r="60" spans="1:10" x14ac:dyDescent="0.35">
      <c r="A60" s="6">
        <v>52</v>
      </c>
      <c r="B60" s="19" t="str">
        <f>'Data Mentah'!B57</f>
        <v>25/12/2023</v>
      </c>
      <c r="C60" s="19">
        <f>'Data Mentah'!C57</f>
        <v>109</v>
      </c>
      <c r="D60" s="20">
        <f t="shared" si="7"/>
        <v>109.73780228700032</v>
      </c>
      <c r="E60" s="20">
        <f t="shared" si="8"/>
        <v>-0.61261550841716295</v>
      </c>
      <c r="F60" s="20">
        <f t="shared" si="9"/>
        <v>116.37802287000321</v>
      </c>
      <c r="G60" s="20">
        <f t="shared" si="10"/>
        <v>-7.3780228700032069</v>
      </c>
      <c r="H60" s="20">
        <f t="shared" si="11"/>
        <v>7.3780228700032069</v>
      </c>
      <c r="I60" s="21">
        <f t="shared" si="12"/>
        <v>54.435221470290358</v>
      </c>
      <c r="J60" s="21">
        <f t="shared" si="13"/>
        <v>6.7688283211038591</v>
      </c>
    </row>
    <row r="61" spans="1:10" x14ac:dyDescent="0.35">
      <c r="A61" s="6">
        <v>53</v>
      </c>
      <c r="B61" s="19" t="str">
        <f>'Data Mentah'!B58</f>
        <v>01/01/2024</v>
      </c>
      <c r="C61" s="19">
        <f>'Data Mentah'!C58</f>
        <v>108</v>
      </c>
      <c r="D61" s="20">
        <f t="shared" si="7"/>
        <v>108.11251867785832</v>
      </c>
      <c r="E61" s="20">
        <f t="shared" si="8"/>
        <v>-0.71388231848964689</v>
      </c>
      <c r="F61" s="20">
        <f t="shared" si="9"/>
        <v>109.12518677858316</v>
      </c>
      <c r="G61" s="20">
        <f t="shared" si="10"/>
        <v>-1.1251867785831564</v>
      </c>
      <c r="H61" s="20">
        <f t="shared" si="11"/>
        <v>1.1251867785831564</v>
      </c>
      <c r="I61" s="21">
        <f t="shared" si="12"/>
        <v>1.2660452866983412</v>
      </c>
      <c r="J61" s="21">
        <f t="shared" si="13"/>
        <v>1.0418396097992189</v>
      </c>
    </row>
    <row r="62" spans="1:10" x14ac:dyDescent="0.35">
      <c r="A62" s="6">
        <v>54</v>
      </c>
      <c r="B62" s="19" t="str">
        <f>'Data Mentah'!B59</f>
        <v>08/01/2024</v>
      </c>
      <c r="C62" s="19">
        <f>'Data Mentah'!C59</f>
        <v>120</v>
      </c>
      <c r="D62" s="20">
        <f t="shared" si="7"/>
        <v>118.73986363593687</v>
      </c>
      <c r="E62" s="20">
        <f t="shared" si="8"/>
        <v>0.42024040916717309</v>
      </c>
      <c r="F62" s="20">
        <f t="shared" si="9"/>
        <v>107.39863635936867</v>
      </c>
      <c r="G62" s="20">
        <f t="shared" si="10"/>
        <v>12.601363640631334</v>
      </c>
      <c r="H62" s="20">
        <f t="shared" si="11"/>
        <v>12.601363640631334</v>
      </c>
      <c r="I62" s="21">
        <f t="shared" si="12"/>
        <v>158.79436560342538</v>
      </c>
      <c r="J62" s="21">
        <f t="shared" si="13"/>
        <v>10.501136367192778</v>
      </c>
    </row>
    <row r="63" spans="1:10" x14ac:dyDescent="0.35">
      <c r="A63" s="6">
        <v>55</v>
      </c>
      <c r="B63" s="19" t="str">
        <f>'Data Mentah'!B60</f>
        <v>15/01/2024</v>
      </c>
      <c r="C63" s="19">
        <f>'Data Mentah'!C60</f>
        <v>124</v>
      </c>
      <c r="D63" s="20">
        <f t="shared" si="7"/>
        <v>123.51601040451041</v>
      </c>
      <c r="E63" s="20">
        <f t="shared" si="8"/>
        <v>0.85583104510780972</v>
      </c>
      <c r="F63" s="20">
        <f t="shared" si="9"/>
        <v>119.16010404510405</v>
      </c>
      <c r="G63" s="20">
        <f t="shared" si="10"/>
        <v>4.839895954895951</v>
      </c>
      <c r="H63" s="20">
        <f t="shared" si="11"/>
        <v>4.839895954895951</v>
      </c>
      <c r="I63" s="21">
        <f t="shared" si="12"/>
        <v>23.42459285421819</v>
      </c>
      <c r="J63" s="21">
        <f t="shared" si="13"/>
        <v>3.9031418991096376</v>
      </c>
    </row>
    <row r="64" spans="1:10" x14ac:dyDescent="0.35">
      <c r="A64" s="6">
        <v>56</v>
      </c>
      <c r="B64" s="19" t="str">
        <f>'Data Mentah'!B61</f>
        <v>22/01/2024</v>
      </c>
      <c r="C64" s="19">
        <f>'Data Mentah'!C61</f>
        <v>119</v>
      </c>
      <c r="D64" s="20">
        <f t="shared" si="7"/>
        <v>119.53718414496183</v>
      </c>
      <c r="E64" s="20">
        <f t="shared" si="8"/>
        <v>0.37236531464217038</v>
      </c>
      <c r="F64" s="20">
        <f t="shared" si="9"/>
        <v>124.37184144961822</v>
      </c>
      <c r="G64" s="20">
        <f t="shared" si="10"/>
        <v>-5.3718414496182163</v>
      </c>
      <c r="H64" s="20">
        <f t="shared" si="11"/>
        <v>5.3718414496182163</v>
      </c>
      <c r="I64" s="21">
        <f t="shared" si="12"/>
        <v>28.856680559836338</v>
      </c>
      <c r="J64" s="21">
        <f t="shared" si="13"/>
        <v>4.5141524786707699</v>
      </c>
    </row>
    <row r="65" spans="1:10" x14ac:dyDescent="0.35">
      <c r="A65" s="6">
        <v>57</v>
      </c>
      <c r="B65" s="19" t="str">
        <f>'Data Mentah'!B62</f>
        <v>29/01/2024</v>
      </c>
      <c r="C65" s="19">
        <f>'Data Mentah'!C62</f>
        <v>119</v>
      </c>
      <c r="D65" s="20">
        <f t="shared" si="7"/>
        <v>119.09095494596041</v>
      </c>
      <c r="E65" s="20">
        <f t="shared" si="8"/>
        <v>0.29050586327781114</v>
      </c>
      <c r="F65" s="20">
        <f t="shared" si="9"/>
        <v>119.90954945960399</v>
      </c>
      <c r="G65" s="20">
        <f t="shared" si="10"/>
        <v>-0.90954945960399414</v>
      </c>
      <c r="H65" s="20">
        <f t="shared" si="11"/>
        <v>0.90954945960399414</v>
      </c>
      <c r="I65" s="21">
        <f t="shared" si="12"/>
        <v>0.82728021946591779</v>
      </c>
      <c r="J65" s="21">
        <f t="shared" si="13"/>
        <v>0.76432727697814629</v>
      </c>
    </row>
    <row r="66" spans="1:10" x14ac:dyDescent="0.35">
      <c r="A66" s="6">
        <v>58</v>
      </c>
      <c r="B66" s="19" t="str">
        <f>'Data Mentah'!B63</f>
        <v>05/02/2024</v>
      </c>
      <c r="C66" s="19">
        <f>'Data Mentah'!C63</f>
        <v>123</v>
      </c>
      <c r="D66" s="20">
        <f t="shared" si="7"/>
        <v>122.63814608092382</v>
      </c>
      <c r="E66" s="20">
        <f t="shared" si="8"/>
        <v>0.61617439044637123</v>
      </c>
      <c r="F66" s="20">
        <f t="shared" si="9"/>
        <v>119.38146080923822</v>
      </c>
      <c r="G66" s="20">
        <f t="shared" si="10"/>
        <v>3.6185391907617799</v>
      </c>
      <c r="H66" s="20">
        <f t="shared" si="11"/>
        <v>3.6185391907617799</v>
      </c>
      <c r="I66" s="21">
        <f t="shared" si="12"/>
        <v>13.093825875078917</v>
      </c>
      <c r="J66" s="21">
        <f t="shared" si="13"/>
        <v>2.9419017811071382</v>
      </c>
    </row>
    <row r="67" spans="1:10" x14ac:dyDescent="0.35">
      <c r="A67" s="6">
        <v>59</v>
      </c>
      <c r="B67" s="19" t="str">
        <f>'Data Mentah'!B64</f>
        <v>12/02/2024</v>
      </c>
      <c r="C67" s="19">
        <f>'Data Mentah'!C64</f>
        <v>116</v>
      </c>
      <c r="D67" s="20">
        <f t="shared" si="7"/>
        <v>116.72543204713702</v>
      </c>
      <c r="E67" s="20">
        <f t="shared" si="8"/>
        <v>-3.6714451976945783E-2</v>
      </c>
      <c r="F67" s="20">
        <f t="shared" si="9"/>
        <v>123.25432047137019</v>
      </c>
      <c r="G67" s="20">
        <f t="shared" si="10"/>
        <v>-7.2543204713701925</v>
      </c>
      <c r="H67" s="20">
        <f t="shared" si="11"/>
        <v>7.2543204713701925</v>
      </c>
      <c r="I67" s="21">
        <f t="shared" si="12"/>
        <v>52.625165501340653</v>
      </c>
      <c r="J67" s="21">
        <f t="shared" si="13"/>
        <v>6.2537245442846485</v>
      </c>
    </row>
    <row r="68" spans="1:10" x14ac:dyDescent="0.35">
      <c r="A68" s="6">
        <v>60</v>
      </c>
      <c r="B68" s="19" t="str">
        <f>'Data Mentah'!B65</f>
        <v>19/02/2024</v>
      </c>
      <c r="C68" s="19">
        <f>'Data Mentah'!C65</f>
        <v>122</v>
      </c>
      <c r="D68" s="20">
        <f t="shared" si="7"/>
        <v>121.46887175951601</v>
      </c>
      <c r="E68" s="20">
        <f t="shared" si="8"/>
        <v>0.44130096445864747</v>
      </c>
      <c r="F68" s="20">
        <f t="shared" si="9"/>
        <v>116.68871759516007</v>
      </c>
      <c r="G68" s="20">
        <f t="shared" si="10"/>
        <v>5.311282404839929</v>
      </c>
      <c r="H68" s="20">
        <f t="shared" si="11"/>
        <v>5.311282404839929</v>
      </c>
      <c r="I68" s="21">
        <f t="shared" si="12"/>
        <v>28.209720783962219</v>
      </c>
      <c r="J68" s="21">
        <f t="shared" si="13"/>
        <v>4.3535101679015806</v>
      </c>
    </row>
    <row r="69" spans="1:10" x14ac:dyDescent="0.35">
      <c r="A69" s="6">
        <v>61</v>
      </c>
      <c r="B69" s="19" t="str">
        <f>'Data Mentah'!B66</f>
        <v>26/02/2024</v>
      </c>
      <c r="C69" s="19">
        <f>'Data Mentah'!C66</f>
        <v>135</v>
      </c>
      <c r="D69" s="20">
        <f t="shared" si="7"/>
        <v>133.69101727239746</v>
      </c>
      <c r="E69" s="20">
        <f t="shared" si="8"/>
        <v>1.6193854193009283</v>
      </c>
      <c r="F69" s="20">
        <f t="shared" si="9"/>
        <v>121.91017272397465</v>
      </c>
      <c r="G69" s="20">
        <f t="shared" si="10"/>
        <v>13.089827276025346</v>
      </c>
      <c r="H69" s="20">
        <f t="shared" si="11"/>
        <v>13.089827276025346</v>
      </c>
      <c r="I69" s="21">
        <f t="shared" si="12"/>
        <v>171.34357811617713</v>
      </c>
      <c r="J69" s="21">
        <f t="shared" si="13"/>
        <v>9.6961683526113678</v>
      </c>
    </row>
    <row r="70" spans="1:10" x14ac:dyDescent="0.35">
      <c r="A70" s="6">
        <v>62</v>
      </c>
      <c r="B70" s="19" t="str">
        <f>'Data Mentah'!B67</f>
        <v>04/03/2024</v>
      </c>
      <c r="C70" s="19">
        <f>'Data Mentah'!C67</f>
        <v>128</v>
      </c>
      <c r="D70" s="20">
        <f t="shared" si="7"/>
        <v>128.73104026916985</v>
      </c>
      <c r="E70" s="20">
        <f t="shared" si="8"/>
        <v>0.96144917704807487</v>
      </c>
      <c r="F70" s="20">
        <f t="shared" si="9"/>
        <v>135.31040269169839</v>
      </c>
      <c r="G70" s="20">
        <f t="shared" si="10"/>
        <v>-7.3104026916983855</v>
      </c>
      <c r="H70" s="20">
        <f t="shared" si="11"/>
        <v>7.3104026916983855</v>
      </c>
      <c r="I70" s="21">
        <f t="shared" si="12"/>
        <v>53.441987514791002</v>
      </c>
      <c r="J70" s="21">
        <f t="shared" si="13"/>
        <v>5.7112521028893637</v>
      </c>
    </row>
    <row r="71" spans="1:10" x14ac:dyDescent="0.35">
      <c r="A71" s="6">
        <v>63</v>
      </c>
      <c r="B71" s="19" t="str">
        <f>'Data Mentah'!B68</f>
        <v>11/03/2024</v>
      </c>
      <c r="C71" s="19">
        <f>'Data Mentah'!C68</f>
        <v>126</v>
      </c>
      <c r="D71" s="20">
        <f t="shared" si="7"/>
        <v>126.3692489446218</v>
      </c>
      <c r="E71" s="20">
        <f t="shared" si="8"/>
        <v>0.62912512688846234</v>
      </c>
      <c r="F71" s="20">
        <f t="shared" si="9"/>
        <v>129.69248944621793</v>
      </c>
      <c r="G71" s="20">
        <f t="shared" si="10"/>
        <v>-3.6924894462179338</v>
      </c>
      <c r="H71" s="20">
        <f t="shared" si="11"/>
        <v>3.6924894462179338</v>
      </c>
      <c r="I71" s="21">
        <f t="shared" si="12"/>
        <v>13.634478310430824</v>
      </c>
      <c r="J71" s="21">
        <f t="shared" si="13"/>
        <v>2.9305471795380429</v>
      </c>
    </row>
    <row r="72" spans="1:10" x14ac:dyDescent="0.35">
      <c r="A72" s="6">
        <v>64</v>
      </c>
      <c r="B72" s="19" t="str">
        <f>'Data Mentah'!B69</f>
        <v>18/03/2024</v>
      </c>
      <c r="C72" s="19">
        <f>'Data Mentah'!C69</f>
        <v>125</v>
      </c>
      <c r="D72" s="20">
        <f t="shared" si="7"/>
        <v>125.19983740715102</v>
      </c>
      <c r="E72" s="20">
        <f t="shared" si="8"/>
        <v>0.44927146045253818</v>
      </c>
      <c r="F72" s="20">
        <f t="shared" si="9"/>
        <v>126.99837407151027</v>
      </c>
      <c r="G72" s="20">
        <f t="shared" si="10"/>
        <v>-1.9983740715102698</v>
      </c>
      <c r="H72" s="20">
        <f t="shared" si="11"/>
        <v>1.9983740715102698</v>
      </c>
      <c r="I72" s="21">
        <f t="shared" si="12"/>
        <v>3.9934989296845331</v>
      </c>
      <c r="J72" s="21">
        <f t="shared" si="13"/>
        <v>1.5986992572082157</v>
      </c>
    </row>
    <row r="73" spans="1:10" x14ac:dyDescent="0.35">
      <c r="A73" s="6">
        <v>65</v>
      </c>
      <c r="B73" s="19" t="str">
        <f>'Data Mentah'!B70</f>
        <v>25/03/2024</v>
      </c>
      <c r="C73" s="19">
        <f>'Data Mentah'!C70</f>
        <v>113</v>
      </c>
      <c r="D73" s="20">
        <f t="shared" ref="D73:D104" si="14">$E$4*C73+(1-$E$4)*(D72+E72)</f>
        <v>114.26491088676036</v>
      </c>
      <c r="E73" s="20">
        <f t="shared" ref="E73:E104" si="15">$H$4*(D73-D72)+(1-$H$4)*E72</f>
        <v>-0.68914833763178185</v>
      </c>
      <c r="F73" s="20">
        <f t="shared" ref="F73:F104" si="16">D72+E72</f>
        <v>125.64910886760356</v>
      </c>
      <c r="G73" s="20">
        <f t="shared" ref="G73:G104" si="17">C73-F73</f>
        <v>-12.649108867603559</v>
      </c>
      <c r="H73" s="20">
        <f t="shared" ref="H73:H104" si="18">ABS(G73)</f>
        <v>12.649108867603559</v>
      </c>
      <c r="I73" s="21">
        <f t="shared" ref="I73:I104" si="19">G73^2</f>
        <v>159.99995514448699</v>
      </c>
      <c r="J73" s="21">
        <f t="shared" ref="J73:J104" si="20">ABS(G73/C73)*100</f>
        <v>11.193901652746511</v>
      </c>
    </row>
    <row r="74" spans="1:10" x14ac:dyDescent="0.35">
      <c r="A74" s="6">
        <v>66</v>
      </c>
      <c r="B74" s="19" t="str">
        <f>'Data Mentah'!B71</f>
        <v>01/04/2024</v>
      </c>
      <c r="C74" s="19">
        <f>'Data Mentah'!C71</f>
        <v>124</v>
      </c>
      <c r="D74" s="20">
        <f t="shared" si="14"/>
        <v>122.95757625491287</v>
      </c>
      <c r="E74" s="20">
        <f t="shared" si="15"/>
        <v>0.2490330329466468</v>
      </c>
      <c r="F74" s="20">
        <f t="shared" si="16"/>
        <v>113.57576254912858</v>
      </c>
      <c r="G74" s="20">
        <f t="shared" si="17"/>
        <v>10.424237450871416</v>
      </c>
      <c r="H74" s="20">
        <f t="shared" si="18"/>
        <v>10.424237450871416</v>
      </c>
      <c r="I74" s="21">
        <f t="shared" si="19"/>
        <v>108.6647264321502</v>
      </c>
      <c r="J74" s="21">
        <f t="shared" si="20"/>
        <v>8.4066431055414643</v>
      </c>
    </row>
    <row r="75" spans="1:10" x14ac:dyDescent="0.35">
      <c r="A75" s="6">
        <v>67</v>
      </c>
      <c r="B75" s="19" t="str">
        <f>'Data Mentah'!B72</f>
        <v>08/04/2024</v>
      </c>
      <c r="C75" s="19">
        <f>'Data Mentah'!C72</f>
        <v>123</v>
      </c>
      <c r="D75" s="20">
        <f t="shared" si="14"/>
        <v>123.02066092878596</v>
      </c>
      <c r="E75" s="20">
        <f t="shared" si="15"/>
        <v>0.23043819703929136</v>
      </c>
      <c r="F75" s="20">
        <f t="shared" si="16"/>
        <v>123.20660928785951</v>
      </c>
      <c r="G75" s="20">
        <f t="shared" si="17"/>
        <v>-0.20660928785950716</v>
      </c>
      <c r="H75" s="20">
        <f t="shared" si="18"/>
        <v>0.20660928785950716</v>
      </c>
      <c r="I75" s="21">
        <f t="shared" si="19"/>
        <v>4.2687397829812693E-2</v>
      </c>
      <c r="J75" s="21">
        <f t="shared" si="20"/>
        <v>0.16797503078008713</v>
      </c>
    </row>
    <row r="76" spans="1:10" x14ac:dyDescent="0.35">
      <c r="A76" s="6">
        <v>68</v>
      </c>
      <c r="B76" s="19" t="str">
        <f>'Data Mentah'!B73</f>
        <v>15/04/2024</v>
      </c>
      <c r="C76" s="19">
        <f>'Data Mentah'!C73</f>
        <v>128</v>
      </c>
      <c r="D76" s="20">
        <f t="shared" si="14"/>
        <v>127.52510991258252</v>
      </c>
      <c r="E76" s="20">
        <f t="shared" si="15"/>
        <v>0.65783927571501866</v>
      </c>
      <c r="F76" s="20">
        <f t="shared" si="16"/>
        <v>123.25109912582525</v>
      </c>
      <c r="G76" s="20">
        <f t="shared" si="17"/>
        <v>4.7489008741747512</v>
      </c>
      <c r="H76" s="20">
        <f t="shared" si="18"/>
        <v>4.7489008741747512</v>
      </c>
      <c r="I76" s="21">
        <f t="shared" si="19"/>
        <v>22.552059512737717</v>
      </c>
      <c r="J76" s="21">
        <f t="shared" si="20"/>
        <v>3.7100788079490243</v>
      </c>
    </row>
    <row r="77" spans="1:10" x14ac:dyDescent="0.35">
      <c r="A77" s="6">
        <v>69</v>
      </c>
      <c r="B77" s="19" t="str">
        <f>'Data Mentah'!B74</f>
        <v>22/04/2024</v>
      </c>
      <c r="C77" s="19">
        <f>'Data Mentah'!C74</f>
        <v>124</v>
      </c>
      <c r="D77" s="20">
        <f t="shared" si="14"/>
        <v>124.41829491882976</v>
      </c>
      <c r="E77" s="20">
        <f t="shared" si="15"/>
        <v>0.2813738487682404</v>
      </c>
      <c r="F77" s="20">
        <f t="shared" si="16"/>
        <v>128.18294918829753</v>
      </c>
      <c r="G77" s="20">
        <f t="shared" si="17"/>
        <v>-4.1829491882975276</v>
      </c>
      <c r="H77" s="20">
        <f t="shared" si="18"/>
        <v>4.1829491882975276</v>
      </c>
      <c r="I77" s="21">
        <f t="shared" si="19"/>
        <v>17.497063911878946</v>
      </c>
      <c r="J77" s="21">
        <f t="shared" si="20"/>
        <v>3.3733461195947805</v>
      </c>
    </row>
    <row r="78" spans="1:10" x14ac:dyDescent="0.35">
      <c r="A78" s="6">
        <v>70</v>
      </c>
      <c r="B78" s="19" t="str">
        <f>'Data Mentah'!B75</f>
        <v>29/04/2024</v>
      </c>
      <c r="C78" s="19">
        <f>'Data Mentah'!C75</f>
        <v>118</v>
      </c>
      <c r="D78" s="20">
        <f t="shared" si="14"/>
        <v>118.6699668767598</v>
      </c>
      <c r="E78" s="20">
        <f t="shared" si="15"/>
        <v>-0.32159634031557943</v>
      </c>
      <c r="F78" s="20">
        <f t="shared" si="16"/>
        <v>124.699668767598</v>
      </c>
      <c r="G78" s="20">
        <f t="shared" si="17"/>
        <v>-6.6996687675979985</v>
      </c>
      <c r="H78" s="20">
        <f t="shared" si="18"/>
        <v>6.6996687675979985</v>
      </c>
      <c r="I78" s="21">
        <f t="shared" si="19"/>
        <v>44.885561595528081</v>
      </c>
      <c r="J78" s="21">
        <f t="shared" si="20"/>
        <v>5.6776853962694904</v>
      </c>
    </row>
    <row r="79" spans="1:10" x14ac:dyDescent="0.35">
      <c r="A79" s="6">
        <v>71</v>
      </c>
      <c r="B79" s="19" t="str">
        <f>'Data Mentah'!B76</f>
        <v>06/05/2024</v>
      </c>
      <c r="C79" s="19">
        <f>'Data Mentah'!C76</f>
        <v>127</v>
      </c>
      <c r="D79" s="20">
        <f t="shared" si="14"/>
        <v>126.13483705364442</v>
      </c>
      <c r="E79" s="20">
        <f t="shared" si="15"/>
        <v>0.45705031140444019</v>
      </c>
      <c r="F79" s="20">
        <f t="shared" si="16"/>
        <v>118.34837053644422</v>
      </c>
      <c r="G79" s="20">
        <f t="shared" si="17"/>
        <v>8.6516294635557784</v>
      </c>
      <c r="H79" s="20">
        <f t="shared" si="18"/>
        <v>8.6516294635557784</v>
      </c>
      <c r="I79" s="21">
        <f t="shared" si="19"/>
        <v>74.850692374666451</v>
      </c>
      <c r="J79" s="21">
        <f t="shared" si="20"/>
        <v>6.8123066642171475</v>
      </c>
    </row>
    <row r="80" spans="1:10" x14ac:dyDescent="0.35">
      <c r="A80" s="6">
        <v>72</v>
      </c>
      <c r="B80" s="19" t="str">
        <f>'Data Mentah'!B77</f>
        <v>13/05/2024</v>
      </c>
      <c r="C80" s="19">
        <f>'Data Mentah'!C77</f>
        <v>120</v>
      </c>
      <c r="D80" s="20">
        <f t="shared" si="14"/>
        <v>120.65918873650489</v>
      </c>
      <c r="E80" s="20">
        <f t="shared" si="15"/>
        <v>-0.1362195514499569</v>
      </c>
      <c r="F80" s="20">
        <f t="shared" si="16"/>
        <v>126.59188736504886</v>
      </c>
      <c r="G80" s="20">
        <f t="shared" si="17"/>
        <v>-6.5918873650488621</v>
      </c>
      <c r="H80" s="20">
        <f t="shared" si="18"/>
        <v>6.5918873650488621</v>
      </c>
      <c r="I80" s="21">
        <f t="shared" si="19"/>
        <v>43.452979033490827</v>
      </c>
      <c r="J80" s="21">
        <f t="shared" si="20"/>
        <v>5.4932394708740517</v>
      </c>
    </row>
    <row r="81" spans="1:10" x14ac:dyDescent="0.35">
      <c r="A81" s="6">
        <v>73</v>
      </c>
      <c r="B81" s="19" t="str">
        <f>'Data Mentah'!B78</f>
        <v>20/05/2024</v>
      </c>
      <c r="C81" s="19">
        <f>'Data Mentah'!C78</f>
        <v>116</v>
      </c>
      <c r="D81" s="20">
        <f t="shared" si="14"/>
        <v>116.4522969185055</v>
      </c>
      <c r="E81" s="20">
        <f t="shared" si="15"/>
        <v>-0.54328677810490045</v>
      </c>
      <c r="F81" s="20">
        <f t="shared" si="16"/>
        <v>120.52296918505493</v>
      </c>
      <c r="G81" s="20">
        <f t="shared" si="17"/>
        <v>-4.522969185054933</v>
      </c>
      <c r="H81" s="20">
        <f t="shared" si="18"/>
        <v>4.522969185054933</v>
      </c>
      <c r="I81" s="21">
        <f t="shared" si="19"/>
        <v>20.457250248956484</v>
      </c>
      <c r="J81" s="21">
        <f t="shared" si="20"/>
        <v>3.8991113664266663</v>
      </c>
    </row>
    <row r="82" spans="1:10" x14ac:dyDescent="0.35">
      <c r="A82" s="6">
        <v>74</v>
      </c>
      <c r="B82" s="19" t="str">
        <f>'Data Mentah'!B79</f>
        <v>27/05/2024</v>
      </c>
      <c r="C82" s="19">
        <f>'Data Mentah'!C79</f>
        <v>110</v>
      </c>
      <c r="D82" s="20">
        <f t="shared" si="14"/>
        <v>110.59090101404006</v>
      </c>
      <c r="E82" s="20">
        <f t="shared" si="15"/>
        <v>-1.0750976907409544</v>
      </c>
      <c r="F82" s="20">
        <f t="shared" si="16"/>
        <v>115.9090101404006</v>
      </c>
      <c r="G82" s="20">
        <f t="shared" si="17"/>
        <v>-5.9090101404005964</v>
      </c>
      <c r="H82" s="20">
        <f t="shared" si="18"/>
        <v>5.9090101404005964</v>
      </c>
      <c r="I82" s="21">
        <f t="shared" si="19"/>
        <v>34.916400839357074</v>
      </c>
      <c r="J82" s="21">
        <f t="shared" si="20"/>
        <v>5.3718274003641788</v>
      </c>
    </row>
    <row r="83" spans="1:10" x14ac:dyDescent="0.35">
      <c r="A83" s="6">
        <v>75</v>
      </c>
      <c r="B83" s="19" t="str">
        <f>'Data Mentah'!B80</f>
        <v>03/06/2024</v>
      </c>
      <c r="C83" s="19">
        <f>'Data Mentah'!C80</f>
        <v>117</v>
      </c>
      <c r="D83" s="20">
        <f t="shared" si="14"/>
        <v>116.25158033232991</v>
      </c>
      <c r="E83" s="20">
        <f t="shared" si="15"/>
        <v>-0.40151998983787385</v>
      </c>
      <c r="F83" s="20">
        <f t="shared" si="16"/>
        <v>109.5158033232991</v>
      </c>
      <c r="G83" s="20">
        <f t="shared" si="17"/>
        <v>7.484196676700904</v>
      </c>
      <c r="H83" s="20">
        <f t="shared" si="18"/>
        <v>7.484196676700904</v>
      </c>
      <c r="I83" s="21">
        <f t="shared" si="19"/>
        <v>56.013199895540858</v>
      </c>
      <c r="J83" s="21">
        <f t="shared" si="20"/>
        <v>6.3967492963255586</v>
      </c>
    </row>
    <row r="84" spans="1:10" x14ac:dyDescent="0.35">
      <c r="A84" s="6">
        <v>76</v>
      </c>
      <c r="B84" s="19" t="str">
        <f>'Data Mentah'!B81</f>
        <v>10/06/2024</v>
      </c>
      <c r="C84" s="19">
        <f>'Data Mentah'!C81</f>
        <v>114</v>
      </c>
      <c r="D84" s="20">
        <f t="shared" si="14"/>
        <v>114.18500603424921</v>
      </c>
      <c r="E84" s="20">
        <f t="shared" si="15"/>
        <v>-0.568025420662156</v>
      </c>
      <c r="F84" s="20">
        <f t="shared" si="16"/>
        <v>115.85006034249203</v>
      </c>
      <c r="G84" s="20">
        <f t="shared" si="17"/>
        <v>-1.8500603424920286</v>
      </c>
      <c r="H84" s="20">
        <f t="shared" si="18"/>
        <v>1.8500603424920286</v>
      </c>
      <c r="I84" s="21">
        <f t="shared" si="19"/>
        <v>3.4227232708617219</v>
      </c>
      <c r="J84" s="21">
        <f t="shared" si="20"/>
        <v>1.6228599495544109</v>
      </c>
    </row>
    <row r="85" spans="1:10" x14ac:dyDescent="0.35">
      <c r="A85" s="6">
        <v>77</v>
      </c>
      <c r="B85" s="19" t="str">
        <f>'Data Mentah'!B82</f>
        <v>17/06/2024</v>
      </c>
      <c r="C85" s="19">
        <f>'Data Mentah'!C82</f>
        <v>106</v>
      </c>
      <c r="D85" s="20">
        <f t="shared" si="14"/>
        <v>106.76169806135871</v>
      </c>
      <c r="E85" s="20">
        <f t="shared" si="15"/>
        <v>-1.2535536758849903</v>
      </c>
      <c r="F85" s="20">
        <f t="shared" si="16"/>
        <v>113.61698061358706</v>
      </c>
      <c r="G85" s="20">
        <f t="shared" si="17"/>
        <v>-7.6169806135870601</v>
      </c>
      <c r="H85" s="20">
        <f t="shared" si="18"/>
        <v>7.6169806135870601</v>
      </c>
      <c r="I85" s="21">
        <f t="shared" si="19"/>
        <v>58.01839366776111</v>
      </c>
      <c r="J85" s="21">
        <f t="shared" si="20"/>
        <v>7.185830767534962</v>
      </c>
    </row>
    <row r="86" spans="1:10" x14ac:dyDescent="0.35">
      <c r="A86" s="6">
        <v>78</v>
      </c>
      <c r="B86" s="19" t="str">
        <f>'Data Mentah'!B83</f>
        <v>24/06/2024</v>
      </c>
      <c r="C86" s="19">
        <f>'Data Mentah'!C83</f>
        <v>106</v>
      </c>
      <c r="D86" s="20">
        <f t="shared" si="14"/>
        <v>105.95081443854738</v>
      </c>
      <c r="E86" s="20">
        <f t="shared" si="15"/>
        <v>-1.2092866705776244</v>
      </c>
      <c r="F86" s="20">
        <f t="shared" si="16"/>
        <v>105.50814438547373</v>
      </c>
      <c r="G86" s="20">
        <f t="shared" si="17"/>
        <v>0.49185561452627269</v>
      </c>
      <c r="H86" s="20">
        <f t="shared" si="18"/>
        <v>0.49185561452627269</v>
      </c>
      <c r="I86" s="21">
        <f t="shared" si="19"/>
        <v>0.24192194554101734</v>
      </c>
      <c r="J86" s="21">
        <f t="shared" si="20"/>
        <v>0.46401473068516291</v>
      </c>
    </row>
    <row r="87" spans="1:10" x14ac:dyDescent="0.35">
      <c r="A87" s="6">
        <v>79</v>
      </c>
      <c r="B87" s="19" t="str">
        <f>'Data Mentah'!B84</f>
        <v>01/07/2024</v>
      </c>
      <c r="C87" s="19">
        <f>'Data Mentah'!C84</f>
        <v>95</v>
      </c>
      <c r="D87" s="20">
        <f t="shared" si="14"/>
        <v>95.97415277679697</v>
      </c>
      <c r="E87" s="20">
        <f t="shared" si="15"/>
        <v>-2.0860241696949031</v>
      </c>
      <c r="F87" s="20">
        <f t="shared" si="16"/>
        <v>104.74152776796976</v>
      </c>
      <c r="G87" s="20">
        <f t="shared" si="17"/>
        <v>-9.7415277679697567</v>
      </c>
      <c r="H87" s="20">
        <f t="shared" si="18"/>
        <v>9.7415277679697567</v>
      </c>
      <c r="I87" s="21">
        <f t="shared" si="19"/>
        <v>94.897363254125835</v>
      </c>
      <c r="J87" s="21">
        <f t="shared" si="20"/>
        <v>10.254239755757638</v>
      </c>
    </row>
    <row r="88" spans="1:10" x14ac:dyDescent="0.35">
      <c r="A88" s="6">
        <v>80</v>
      </c>
      <c r="B88" s="19" t="str">
        <f>'Data Mentah'!B85</f>
        <v>08/07/2024</v>
      </c>
      <c r="C88" s="19">
        <f>'Data Mentah'!C85</f>
        <v>101</v>
      </c>
      <c r="D88" s="20">
        <f t="shared" si="14"/>
        <v>100.28881286071021</v>
      </c>
      <c r="E88" s="20">
        <f t="shared" si="15"/>
        <v>-1.4459557443340889</v>
      </c>
      <c r="F88" s="20">
        <f t="shared" si="16"/>
        <v>93.888128607102061</v>
      </c>
      <c r="G88" s="20">
        <f t="shared" si="17"/>
        <v>7.1118713928979389</v>
      </c>
      <c r="H88" s="20">
        <f t="shared" si="18"/>
        <v>7.1118713928979389</v>
      </c>
      <c r="I88" s="21">
        <f t="shared" si="19"/>
        <v>50.578714709120071</v>
      </c>
      <c r="J88" s="21">
        <f t="shared" si="20"/>
        <v>7.0414568246514246</v>
      </c>
    </row>
    <row r="89" spans="1:10" x14ac:dyDescent="0.35">
      <c r="A89" s="6">
        <v>81</v>
      </c>
      <c r="B89" s="19" t="str">
        <f>'Data Mentah'!B86</f>
        <v>15/07/2024</v>
      </c>
      <c r="C89" s="19">
        <f>'Data Mentah'!C86</f>
        <v>120</v>
      </c>
      <c r="D89" s="20">
        <f t="shared" si="14"/>
        <v>117.8842857116376</v>
      </c>
      <c r="E89" s="20">
        <f t="shared" si="15"/>
        <v>0.45818711519205935</v>
      </c>
      <c r="F89" s="20">
        <f t="shared" si="16"/>
        <v>98.842857116376123</v>
      </c>
      <c r="G89" s="20">
        <f t="shared" si="17"/>
        <v>21.157142883623877</v>
      </c>
      <c r="H89" s="20">
        <f t="shared" si="18"/>
        <v>21.157142883623877</v>
      </c>
      <c r="I89" s="21">
        <f t="shared" si="19"/>
        <v>447.62469499807645</v>
      </c>
      <c r="J89" s="21">
        <f t="shared" si="20"/>
        <v>17.630952403019897</v>
      </c>
    </row>
    <row r="90" spans="1:10" x14ac:dyDescent="0.35">
      <c r="A90" s="6">
        <v>82</v>
      </c>
      <c r="B90" s="19" t="str">
        <f>'Data Mentah'!B87</f>
        <v>22/07/2024</v>
      </c>
      <c r="C90" s="19">
        <f>'Data Mentah'!C87</f>
        <v>117</v>
      </c>
      <c r="D90" s="20">
        <f t="shared" si="14"/>
        <v>117.13424728268296</v>
      </c>
      <c r="E90" s="20">
        <f t="shared" si="15"/>
        <v>0.33736456077738952</v>
      </c>
      <c r="F90" s="20">
        <f t="shared" si="16"/>
        <v>118.34247282682966</v>
      </c>
      <c r="G90" s="20">
        <f t="shared" si="17"/>
        <v>-1.3424728268296633</v>
      </c>
      <c r="H90" s="20">
        <f t="shared" si="18"/>
        <v>1.3424728268296633</v>
      </c>
      <c r="I90" s="21">
        <f t="shared" si="19"/>
        <v>1.8022332907760272</v>
      </c>
      <c r="J90" s="21">
        <f t="shared" si="20"/>
        <v>1.1474126725039857</v>
      </c>
    </row>
    <row r="91" spans="1:10" x14ac:dyDescent="0.35">
      <c r="A91" s="6">
        <v>83</v>
      </c>
      <c r="B91" s="19" t="str">
        <f>'Data Mentah'!B88</f>
        <v>29/07/2024</v>
      </c>
      <c r="C91" s="19">
        <f>'Data Mentah'!C88</f>
        <v>124</v>
      </c>
      <c r="D91" s="20">
        <f t="shared" si="14"/>
        <v>123.34716118434604</v>
      </c>
      <c r="E91" s="20">
        <f t="shared" si="15"/>
        <v>0.92491949486595781</v>
      </c>
      <c r="F91" s="20">
        <f t="shared" si="16"/>
        <v>117.47161184346035</v>
      </c>
      <c r="G91" s="20">
        <f t="shared" si="17"/>
        <v>6.5283881565396484</v>
      </c>
      <c r="H91" s="20">
        <f t="shared" si="18"/>
        <v>6.5283881565396484</v>
      </c>
      <c r="I91" s="21">
        <f t="shared" si="19"/>
        <v>42.619851922447147</v>
      </c>
      <c r="J91" s="21">
        <f t="shared" si="20"/>
        <v>5.2648291584997162</v>
      </c>
    </row>
    <row r="92" spans="1:10" x14ac:dyDescent="0.35">
      <c r="A92" s="6">
        <v>84</v>
      </c>
      <c r="B92" s="19" t="str">
        <f>'Data Mentah'!B89</f>
        <v>05/08/2024</v>
      </c>
      <c r="C92" s="19">
        <f>'Data Mentah'!C89</f>
        <v>131</v>
      </c>
      <c r="D92" s="20">
        <f t="shared" si="14"/>
        <v>130.32720806792119</v>
      </c>
      <c r="E92" s="20">
        <f t="shared" si="15"/>
        <v>1.5304322337368776</v>
      </c>
      <c r="F92" s="20">
        <f t="shared" si="16"/>
        <v>124.272080679212</v>
      </c>
      <c r="G92" s="20">
        <f t="shared" si="17"/>
        <v>6.7279193207880041</v>
      </c>
      <c r="H92" s="20">
        <f t="shared" si="18"/>
        <v>6.7279193207880041</v>
      </c>
      <c r="I92" s="21">
        <f t="shared" si="19"/>
        <v>45.264898387032517</v>
      </c>
      <c r="J92" s="21">
        <f t="shared" si="20"/>
        <v>5.13581627541069</v>
      </c>
    </row>
    <row r="93" spans="1:10" x14ac:dyDescent="0.35">
      <c r="A93" s="6">
        <v>85</v>
      </c>
      <c r="B93" s="19" t="str">
        <f>'Data Mentah'!B90</f>
        <v>12/08/2024</v>
      </c>
      <c r="C93" s="19">
        <f>'Data Mentah'!C90</f>
        <v>129</v>
      </c>
      <c r="D93" s="20">
        <f t="shared" si="14"/>
        <v>129.28576403016581</v>
      </c>
      <c r="E93" s="20">
        <f t="shared" si="15"/>
        <v>1.2732446065876515</v>
      </c>
      <c r="F93" s="20">
        <f t="shared" si="16"/>
        <v>131.85764030165808</v>
      </c>
      <c r="G93" s="20">
        <f t="shared" si="17"/>
        <v>-2.8576403016580798</v>
      </c>
      <c r="H93" s="20">
        <f t="shared" si="18"/>
        <v>2.8576403016580798</v>
      </c>
      <c r="I93" s="21">
        <f t="shared" si="19"/>
        <v>8.1661080936604815</v>
      </c>
      <c r="J93" s="21">
        <f t="shared" si="20"/>
        <v>2.2152250400450231</v>
      </c>
    </row>
    <row r="94" spans="1:10" x14ac:dyDescent="0.35">
      <c r="A94" s="6">
        <v>86</v>
      </c>
      <c r="B94" s="19" t="str">
        <f>'Data Mentah'!B91</f>
        <v>19/08/2024</v>
      </c>
      <c r="C94" s="19">
        <f>'Data Mentah'!C91</f>
        <v>135</v>
      </c>
      <c r="D94" s="20">
        <f t="shared" si="14"/>
        <v>134.55590086367533</v>
      </c>
      <c r="E94" s="20">
        <f t="shared" si="15"/>
        <v>1.672933829279839</v>
      </c>
      <c r="F94" s="20">
        <f t="shared" si="16"/>
        <v>130.55900863675345</v>
      </c>
      <c r="G94" s="20">
        <f t="shared" si="17"/>
        <v>4.4409913632465532</v>
      </c>
      <c r="H94" s="20">
        <f t="shared" si="18"/>
        <v>4.4409913632465532</v>
      </c>
      <c r="I94" s="21">
        <f t="shared" si="19"/>
        <v>19.722404288430479</v>
      </c>
      <c r="J94" s="21">
        <f t="shared" si="20"/>
        <v>3.2896232320344838</v>
      </c>
    </row>
    <row r="95" spans="1:10" x14ac:dyDescent="0.35">
      <c r="A95" s="6">
        <v>87</v>
      </c>
      <c r="B95" s="19" t="str">
        <f>'Data Mentah'!B92</f>
        <v>26/08/2024</v>
      </c>
      <c r="C95" s="19">
        <f>'Data Mentah'!C92</f>
        <v>133</v>
      </c>
      <c r="D95" s="20">
        <f t="shared" si="14"/>
        <v>133.3228834692955</v>
      </c>
      <c r="E95" s="20">
        <f t="shared" si="15"/>
        <v>1.3823387069138722</v>
      </c>
      <c r="F95" s="20">
        <f t="shared" si="16"/>
        <v>136.22883469295516</v>
      </c>
      <c r="G95" s="20">
        <f t="shared" si="17"/>
        <v>-3.2288346929551608</v>
      </c>
      <c r="H95" s="20">
        <f t="shared" si="18"/>
        <v>3.2288346929551608</v>
      </c>
      <c r="I95" s="21">
        <f t="shared" si="19"/>
        <v>10.425373474430847</v>
      </c>
      <c r="J95" s="21">
        <f t="shared" si="20"/>
        <v>2.4276952578610231</v>
      </c>
    </row>
    <row r="96" spans="1:10" x14ac:dyDescent="0.35">
      <c r="A96" s="6">
        <v>88</v>
      </c>
      <c r="B96" s="19" t="str">
        <f>'Data Mentah'!B93</f>
        <v>02/09/2024</v>
      </c>
      <c r="C96" s="19">
        <f>'Data Mentah'!C93</f>
        <v>128</v>
      </c>
      <c r="D96" s="20">
        <f t="shared" si="14"/>
        <v>128.67052221762094</v>
      </c>
      <c r="E96" s="20">
        <f t="shared" si="15"/>
        <v>0.77886871105502853</v>
      </c>
      <c r="F96" s="20">
        <f t="shared" si="16"/>
        <v>134.70522217620939</v>
      </c>
      <c r="G96" s="20">
        <f t="shared" si="17"/>
        <v>-6.7052221762093893</v>
      </c>
      <c r="H96" s="20">
        <f t="shared" si="18"/>
        <v>6.7052221762093893</v>
      </c>
      <c r="I96" s="21">
        <f t="shared" si="19"/>
        <v>44.96000443233018</v>
      </c>
      <c r="J96" s="21">
        <f t="shared" si="20"/>
        <v>5.2384548251635854</v>
      </c>
    </row>
    <row r="97" spans="1:10" x14ac:dyDescent="0.35">
      <c r="A97" s="6">
        <v>89</v>
      </c>
      <c r="B97" s="19" t="str">
        <f>'Data Mentah'!B94</f>
        <v>09/09/2024</v>
      </c>
      <c r="C97" s="19">
        <f>'Data Mentah'!C94</f>
        <v>133</v>
      </c>
      <c r="D97" s="20">
        <f t="shared" si="14"/>
        <v>132.64493909286759</v>
      </c>
      <c r="E97" s="20">
        <f t="shared" si="15"/>
        <v>1.0984235274741905</v>
      </c>
      <c r="F97" s="20">
        <f t="shared" si="16"/>
        <v>129.44939092867597</v>
      </c>
      <c r="G97" s="20">
        <f t="shared" si="17"/>
        <v>3.5506090713240326</v>
      </c>
      <c r="H97" s="20">
        <f t="shared" si="18"/>
        <v>3.5506090713240326</v>
      </c>
      <c r="I97" s="21">
        <f t="shared" si="19"/>
        <v>12.606824777368509</v>
      </c>
      <c r="J97" s="21">
        <f t="shared" si="20"/>
        <v>2.6696308806947613</v>
      </c>
    </row>
    <row r="98" spans="1:10" x14ac:dyDescent="0.35">
      <c r="A98" s="6">
        <v>90</v>
      </c>
      <c r="B98" s="19" t="str">
        <f>'Data Mentah'!B95</f>
        <v>16/09/2024</v>
      </c>
      <c r="C98" s="19">
        <f>'Data Mentah'!C95</f>
        <v>129</v>
      </c>
      <c r="D98" s="20">
        <f t="shared" si="14"/>
        <v>129.47433626203417</v>
      </c>
      <c r="E98" s="20">
        <f t="shared" si="15"/>
        <v>0.67152089164342965</v>
      </c>
      <c r="F98" s="20">
        <f t="shared" si="16"/>
        <v>133.74336262034177</v>
      </c>
      <c r="G98" s="20">
        <f t="shared" si="17"/>
        <v>-4.7433626203417703</v>
      </c>
      <c r="H98" s="20">
        <f t="shared" si="18"/>
        <v>4.7433626203417703</v>
      </c>
      <c r="I98" s="21">
        <f t="shared" si="19"/>
        <v>22.499488948055546</v>
      </c>
      <c r="J98" s="21">
        <f t="shared" si="20"/>
        <v>3.6770252870866438</v>
      </c>
    </row>
    <row r="99" spans="1:10" x14ac:dyDescent="0.35">
      <c r="A99" s="6">
        <v>91</v>
      </c>
      <c r="B99" s="19" t="str">
        <f>'Data Mentah'!B96</f>
        <v>23/09/2024</v>
      </c>
      <c r="C99" s="19">
        <f>'Data Mentah'!C96</f>
        <v>127</v>
      </c>
      <c r="D99" s="20">
        <f t="shared" si="14"/>
        <v>127.31458571536776</v>
      </c>
      <c r="E99" s="20">
        <f t="shared" si="15"/>
        <v>0.38839374781244518</v>
      </c>
      <c r="F99" s="20">
        <f t="shared" si="16"/>
        <v>130.14585715367761</v>
      </c>
      <c r="G99" s="20">
        <f t="shared" si="17"/>
        <v>-3.1458571536776105</v>
      </c>
      <c r="H99" s="20">
        <f t="shared" si="18"/>
        <v>3.1458571536776105</v>
      </c>
      <c r="I99" s="21">
        <f t="shared" si="19"/>
        <v>9.8964172313445982</v>
      </c>
      <c r="J99" s="21">
        <f t="shared" si="20"/>
        <v>2.4770528769115043</v>
      </c>
    </row>
    <row r="100" spans="1:10" x14ac:dyDescent="0.35">
      <c r="A100" s="6">
        <v>92</v>
      </c>
      <c r="B100" s="19" t="str">
        <f>'Data Mentah'!B97</f>
        <v>30/09/2024</v>
      </c>
      <c r="C100" s="19">
        <f>'Data Mentah'!C97</f>
        <v>121</v>
      </c>
      <c r="D100" s="20">
        <f t="shared" si="14"/>
        <v>121.67029794631802</v>
      </c>
      <c r="E100" s="20">
        <f t="shared" si="15"/>
        <v>-0.21487440387377327</v>
      </c>
      <c r="F100" s="20">
        <f t="shared" si="16"/>
        <v>127.7029794631802</v>
      </c>
      <c r="G100" s="20">
        <f t="shared" si="17"/>
        <v>-6.7029794631801991</v>
      </c>
      <c r="H100" s="20">
        <f t="shared" si="18"/>
        <v>6.7029794631801991</v>
      </c>
      <c r="I100" s="21">
        <f t="shared" si="19"/>
        <v>44.929933683815513</v>
      </c>
      <c r="J100" s="21">
        <f t="shared" si="20"/>
        <v>5.5396524489092558</v>
      </c>
    </row>
    <row r="101" spans="1:10" x14ac:dyDescent="0.35">
      <c r="A101" s="6">
        <v>93</v>
      </c>
      <c r="B101" s="19" t="str">
        <f>'Data Mentah'!B98</f>
        <v>07/10/2024</v>
      </c>
      <c r="C101" s="19">
        <f>'Data Mentah'!C98</f>
        <v>105</v>
      </c>
      <c r="D101" s="20">
        <f t="shared" si="14"/>
        <v>106.64554235424443</v>
      </c>
      <c r="E101" s="20">
        <f t="shared" si="15"/>
        <v>-1.6958625226937549</v>
      </c>
      <c r="F101" s="20">
        <f t="shared" si="16"/>
        <v>121.45542354244424</v>
      </c>
      <c r="G101" s="20">
        <f t="shared" si="17"/>
        <v>-16.455423542444237</v>
      </c>
      <c r="H101" s="20">
        <f t="shared" si="18"/>
        <v>16.455423542444237</v>
      </c>
      <c r="I101" s="21">
        <f t="shared" si="19"/>
        <v>270.78096396122805</v>
      </c>
      <c r="J101" s="21">
        <f t="shared" si="20"/>
        <v>15.671831945184989</v>
      </c>
    </row>
    <row r="102" spans="1:10" x14ac:dyDescent="0.35">
      <c r="A102" s="6">
        <v>94</v>
      </c>
      <c r="B102" s="19" t="str">
        <f>'Data Mentah'!B99</f>
        <v>14/10/2024</v>
      </c>
      <c r="C102" s="19">
        <f>'Data Mentah'!C99</f>
        <v>103</v>
      </c>
      <c r="D102" s="20">
        <f t="shared" si="14"/>
        <v>103.19496798315507</v>
      </c>
      <c r="E102" s="20">
        <f t="shared" si="15"/>
        <v>-1.8713337075333154</v>
      </c>
      <c r="F102" s="20">
        <f t="shared" si="16"/>
        <v>104.94967983155067</v>
      </c>
      <c r="G102" s="20">
        <f t="shared" si="17"/>
        <v>-1.949679831550668</v>
      </c>
      <c r="H102" s="20">
        <f t="shared" si="18"/>
        <v>1.949679831550668</v>
      </c>
      <c r="I102" s="21">
        <f t="shared" si="19"/>
        <v>3.8012514455554411</v>
      </c>
      <c r="J102" s="21">
        <f t="shared" si="20"/>
        <v>1.8928930403404542</v>
      </c>
    </row>
    <row r="103" spans="1:10" x14ac:dyDescent="0.35">
      <c r="A103" s="6">
        <v>95</v>
      </c>
      <c r="B103" s="19" t="str">
        <f>'Data Mentah'!B100</f>
        <v>21/10/2024</v>
      </c>
      <c r="C103" s="19">
        <f>'Data Mentah'!C100</f>
        <v>107</v>
      </c>
      <c r="D103" s="20">
        <f t="shared" si="14"/>
        <v>106.43236342756217</v>
      </c>
      <c r="E103" s="20">
        <f t="shared" si="15"/>
        <v>-1.360460792339274</v>
      </c>
      <c r="F103" s="20">
        <f t="shared" si="16"/>
        <v>101.32363427562176</v>
      </c>
      <c r="G103" s="20">
        <f t="shared" si="17"/>
        <v>5.6763657243782433</v>
      </c>
      <c r="H103" s="20">
        <f t="shared" si="18"/>
        <v>5.6763657243782433</v>
      </c>
      <c r="I103" s="21">
        <f t="shared" si="19"/>
        <v>32.221127836896137</v>
      </c>
      <c r="J103" s="21">
        <f t="shared" si="20"/>
        <v>5.305014695680601</v>
      </c>
    </row>
    <row r="104" spans="1:10" x14ac:dyDescent="0.35">
      <c r="A104" s="6">
        <v>96</v>
      </c>
      <c r="B104" s="19" t="str">
        <f>'Data Mentah'!B101</f>
        <v>28/10/2024</v>
      </c>
      <c r="C104" s="19">
        <f>'Data Mentah'!C101</f>
        <v>108</v>
      </c>
      <c r="D104" s="20">
        <f t="shared" si="14"/>
        <v>107.70719026352229</v>
      </c>
      <c r="E104" s="20">
        <f t="shared" si="15"/>
        <v>-1.0969320295093339</v>
      </c>
      <c r="F104" s="20">
        <f t="shared" si="16"/>
        <v>105.0719026352229</v>
      </c>
      <c r="G104" s="20">
        <f t="shared" si="17"/>
        <v>2.928097364777102</v>
      </c>
      <c r="H104" s="20">
        <f t="shared" si="18"/>
        <v>2.928097364777102</v>
      </c>
      <c r="I104" s="21">
        <f t="shared" si="19"/>
        <v>8.5737541776146085</v>
      </c>
      <c r="J104" s="21">
        <f t="shared" si="20"/>
        <v>2.7112012636825016</v>
      </c>
    </row>
    <row r="105" spans="1:10" x14ac:dyDescent="0.35">
      <c r="A105" s="6">
        <v>97</v>
      </c>
      <c r="B105" s="19" t="str">
        <f>'Data Mentah'!B102</f>
        <v>04/11/2024</v>
      </c>
      <c r="C105" s="19">
        <f>'Data Mentah'!C102</f>
        <v>115</v>
      </c>
      <c r="D105" s="20">
        <f t="shared" ref="D105:D136" si="21">$E$4*C105+(1-$E$4)*(D104+E104)</f>
        <v>114.16102582340129</v>
      </c>
      <c r="E105" s="20">
        <f t="shared" ref="E105:E136" si="22">$H$4*(D105-D104)+(1-$H$4)*E104</f>
        <v>-0.34185527057050091</v>
      </c>
      <c r="F105" s="20">
        <f t="shared" ref="F105:F113" si="23">D104+E104</f>
        <v>106.61025823401296</v>
      </c>
      <c r="G105" s="20">
        <f t="shared" ref="G105:G136" si="24">C105-F105</f>
        <v>8.3897417659870399</v>
      </c>
      <c r="H105" s="20">
        <f t="shared" ref="H105:H136" si="25">ABS(G105)</f>
        <v>8.3897417659870399</v>
      </c>
      <c r="I105" s="21">
        <f t="shared" ref="I105:I113" si="26">G105^2</f>
        <v>70.387766899947337</v>
      </c>
      <c r="J105" s="21">
        <f t="shared" ref="J105:J113" si="27">ABS(G105/C105)*100</f>
        <v>7.2954276225974262</v>
      </c>
    </row>
    <row r="106" spans="1:10" x14ac:dyDescent="0.35">
      <c r="A106" s="6">
        <v>98</v>
      </c>
      <c r="B106" s="19" t="str">
        <f>'Data Mentah'!B103</f>
        <v>11/11/2024</v>
      </c>
      <c r="C106" s="19">
        <f>'Data Mentah'!C103</f>
        <v>114</v>
      </c>
      <c r="D106" s="20">
        <f t="shared" si="21"/>
        <v>113.98191705528308</v>
      </c>
      <c r="E106" s="20">
        <f t="shared" si="22"/>
        <v>-0.32558062032527202</v>
      </c>
      <c r="F106" s="20">
        <f t="shared" si="23"/>
        <v>113.81917055283078</v>
      </c>
      <c r="G106" s="20">
        <f t="shared" si="24"/>
        <v>0.18082944716921645</v>
      </c>
      <c r="H106" s="20">
        <f t="shared" si="25"/>
        <v>0.18082944716921645</v>
      </c>
      <c r="I106" s="21">
        <f t="shared" si="26"/>
        <v>3.2699288963524441E-2</v>
      </c>
      <c r="J106" s="21">
        <f t="shared" si="27"/>
        <v>0.15862232207826005</v>
      </c>
    </row>
    <row r="107" spans="1:10" x14ac:dyDescent="0.35">
      <c r="A107" s="6">
        <v>99</v>
      </c>
      <c r="B107" s="19" t="str">
        <f>'Data Mentah'!B104</f>
        <v>18/11/2024</v>
      </c>
      <c r="C107" s="19">
        <f>'Data Mentah'!C104</f>
        <v>112</v>
      </c>
      <c r="D107" s="20">
        <f t="shared" si="21"/>
        <v>112.16563364349578</v>
      </c>
      <c r="E107" s="20">
        <f t="shared" si="22"/>
        <v>-0.47465089947147443</v>
      </c>
      <c r="F107" s="20">
        <f t="shared" si="23"/>
        <v>113.65633643495781</v>
      </c>
      <c r="G107" s="20">
        <f t="shared" si="24"/>
        <v>-1.656336434957808</v>
      </c>
      <c r="H107" s="20">
        <f t="shared" si="25"/>
        <v>1.656336434957808</v>
      </c>
      <c r="I107" s="21">
        <f t="shared" si="26"/>
        <v>2.7434503857687411</v>
      </c>
      <c r="J107" s="21">
        <f t="shared" si="27"/>
        <v>1.4788718169266144</v>
      </c>
    </row>
    <row r="108" spans="1:10" x14ac:dyDescent="0.35">
      <c r="A108" s="6">
        <v>100</v>
      </c>
      <c r="B108" s="19" t="str">
        <f>'Data Mentah'!B105</f>
        <v>25/11/2024</v>
      </c>
      <c r="C108" s="19">
        <f>'Data Mentah'!C105</f>
        <v>120</v>
      </c>
      <c r="D108" s="20">
        <f t="shared" si="21"/>
        <v>119.16909827440243</v>
      </c>
      <c r="E108" s="20">
        <f t="shared" si="22"/>
        <v>0.27316065356633795</v>
      </c>
      <c r="F108" s="20">
        <f t="shared" si="23"/>
        <v>111.69098274402431</v>
      </c>
      <c r="G108" s="20">
        <f t="shared" si="24"/>
        <v>8.3090172559756894</v>
      </c>
      <c r="H108" s="20">
        <f t="shared" si="25"/>
        <v>8.3090172559756894</v>
      </c>
      <c r="I108" s="21">
        <f t="shared" si="26"/>
        <v>69.039767760101782</v>
      </c>
      <c r="J108" s="21">
        <f t="shared" si="27"/>
        <v>6.9241810466464075</v>
      </c>
    </row>
    <row r="109" spans="1:10" x14ac:dyDescent="0.35">
      <c r="A109" s="6">
        <v>101</v>
      </c>
      <c r="B109" s="19" t="str">
        <f>'Data Mentah'!B106</f>
        <v>02/12/2024</v>
      </c>
      <c r="C109" s="19">
        <f>'Data Mentah'!C106</f>
        <v>118</v>
      </c>
      <c r="D109" s="20">
        <f t="shared" si="21"/>
        <v>118.14422589279688</v>
      </c>
      <c r="E109" s="20">
        <f t="shared" si="22"/>
        <v>0.14335735004914943</v>
      </c>
      <c r="F109" s="20">
        <f t="shared" si="23"/>
        <v>119.44225892796877</v>
      </c>
      <c r="G109" s="20">
        <f t="shared" si="24"/>
        <v>-1.4422589279687656</v>
      </c>
      <c r="H109" s="20">
        <f t="shared" si="25"/>
        <v>1.4422589279687656</v>
      </c>
      <c r="I109" s="21">
        <f t="shared" si="26"/>
        <v>2.0801108153056131</v>
      </c>
      <c r="J109" s="21">
        <f t="shared" si="27"/>
        <v>1.2222533287870894</v>
      </c>
    </row>
    <row r="110" spans="1:10" x14ac:dyDescent="0.35">
      <c r="A110" s="6">
        <v>102</v>
      </c>
      <c r="B110" s="19" t="str">
        <f>'Data Mentah'!B107</f>
        <v>09/12/2024</v>
      </c>
      <c r="C110" s="19">
        <f>'Data Mentah'!C107</f>
        <v>130</v>
      </c>
      <c r="D110" s="20">
        <f t="shared" si="21"/>
        <v>128.82875832428459</v>
      </c>
      <c r="E110" s="20">
        <f t="shared" si="22"/>
        <v>1.1974748581930055</v>
      </c>
      <c r="F110" s="20">
        <f t="shared" si="23"/>
        <v>118.28758324284603</v>
      </c>
      <c r="G110" s="20">
        <f t="shared" si="24"/>
        <v>11.712416757153974</v>
      </c>
      <c r="H110" s="20">
        <f t="shared" si="25"/>
        <v>11.712416757153974</v>
      </c>
      <c r="I110" s="21">
        <f t="shared" si="26"/>
        <v>137.18070629326121</v>
      </c>
      <c r="J110" s="21">
        <f t="shared" si="27"/>
        <v>9.0095513516569046</v>
      </c>
    </row>
    <row r="111" spans="1:10" x14ac:dyDescent="0.35">
      <c r="A111" s="6">
        <v>103</v>
      </c>
      <c r="B111" s="19" t="str">
        <f>'Data Mentah'!B108</f>
        <v>16/12/2024</v>
      </c>
      <c r="C111" s="19">
        <f>'Data Mentah'!C108</f>
        <v>132</v>
      </c>
      <c r="D111" s="20">
        <f t="shared" si="21"/>
        <v>131.80262331824775</v>
      </c>
      <c r="E111" s="20">
        <f t="shared" si="22"/>
        <v>1.3751138717700211</v>
      </c>
      <c r="F111" s="20">
        <f t="shared" si="23"/>
        <v>130.0262331824776</v>
      </c>
      <c r="G111" s="20">
        <f t="shared" si="24"/>
        <v>1.973766817522403</v>
      </c>
      <c r="H111" s="20">
        <f t="shared" si="25"/>
        <v>1.973766817522403</v>
      </c>
      <c r="I111" s="21">
        <f t="shared" si="26"/>
        <v>3.8957554499525151</v>
      </c>
      <c r="J111" s="21">
        <f t="shared" si="27"/>
        <v>1.4952778920624266</v>
      </c>
    </row>
    <row r="112" spans="1:10" x14ac:dyDescent="0.35">
      <c r="A112" s="6">
        <v>104</v>
      </c>
      <c r="B112" s="19" t="str">
        <f>'Data Mentah'!B109</f>
        <v>23/12/2024</v>
      </c>
      <c r="C112" s="19">
        <f>'Data Mentah'!C109</f>
        <v>126</v>
      </c>
      <c r="D112" s="20">
        <f t="shared" si="21"/>
        <v>126.71777371900178</v>
      </c>
      <c r="E112" s="20">
        <f t="shared" si="22"/>
        <v>0.72911752466842183</v>
      </c>
      <c r="F112" s="20">
        <f t="shared" si="23"/>
        <v>133.17773719001778</v>
      </c>
      <c r="G112" s="20">
        <f t="shared" si="24"/>
        <v>-7.1777371900177798</v>
      </c>
      <c r="H112" s="20">
        <f t="shared" si="25"/>
        <v>7.1777371900177798</v>
      </c>
      <c r="I112" s="21">
        <f t="shared" si="26"/>
        <v>51.519911168964335</v>
      </c>
      <c r="J112" s="21">
        <f t="shared" si="27"/>
        <v>5.6966168174744283</v>
      </c>
    </row>
    <row r="113" spans="1:10" x14ac:dyDescent="0.35">
      <c r="A113" s="6">
        <v>105</v>
      </c>
      <c r="B113" s="19" t="str">
        <f>'Data Mentah'!B110</f>
        <v>30/12/2024</v>
      </c>
      <c r="C113" s="19">
        <f>'Data Mentah'!C110</f>
        <v>109</v>
      </c>
      <c r="D113" s="20">
        <f t="shared" si="21"/>
        <v>110.84468912436702</v>
      </c>
      <c r="E113" s="20">
        <f t="shared" si="22"/>
        <v>-0.9311026872618966</v>
      </c>
      <c r="F113" s="20">
        <f t="shared" si="23"/>
        <v>127.44689124367021</v>
      </c>
      <c r="G113" s="20">
        <f t="shared" si="24"/>
        <v>-18.446891243670208</v>
      </c>
      <c r="H113" s="20">
        <f t="shared" si="25"/>
        <v>18.446891243670208</v>
      </c>
      <c r="I113" s="21">
        <f t="shared" si="26"/>
        <v>340.2877965557966</v>
      </c>
      <c r="J113" s="21">
        <f t="shared" si="27"/>
        <v>16.923753434559824</v>
      </c>
    </row>
    <row r="115" spans="1:10" x14ac:dyDescent="0.35">
      <c r="A115" s="2" t="s">
        <v>178</v>
      </c>
      <c r="B115" s="2"/>
      <c r="C115" s="2"/>
      <c r="D115" s="2"/>
    </row>
    <row r="116" spans="1:10" x14ac:dyDescent="0.35">
      <c r="A116" s="1" t="s">
        <v>179</v>
      </c>
      <c r="B116" s="1"/>
      <c r="C116" s="1"/>
      <c r="D116" s="22">
        <f>AVERAGE(H93:H113)</f>
        <v>5.7940028164840918</v>
      </c>
    </row>
    <row r="117" spans="1:10" x14ac:dyDescent="0.35">
      <c r="A117" s="1" t="s">
        <v>180</v>
      </c>
      <c r="B117" s="1"/>
      <c r="C117" s="1"/>
      <c r="D117" s="22">
        <f>AVERAGE(I93:I113)</f>
        <v>55.511981760418664</v>
      </c>
    </row>
    <row r="118" spans="1:10" x14ac:dyDescent="0.35">
      <c r="A118" s="1" t="s">
        <v>181</v>
      </c>
      <c r="B118" s="1"/>
      <c r="C118" s="1"/>
      <c r="D118" s="23">
        <f>AVERAGE(J93:J113)</f>
        <v>4.9199931631611538</v>
      </c>
    </row>
    <row r="119" spans="1:10" x14ac:dyDescent="0.35">
      <c r="A119" s="1" t="s">
        <v>182</v>
      </c>
      <c r="B119" s="1"/>
      <c r="C119" s="1"/>
      <c r="D119" s="24" t="str">
        <f>IF(D118&lt;10,"Sangat Baik",IF(D118&lt;20,"Baik",IF(D118&lt;=50,"Cukup","Rendah")))</f>
        <v>Sangat Baik</v>
      </c>
    </row>
    <row r="120" spans="1:10" x14ac:dyDescent="0.35">
      <c r="A120" s="1" t="s">
        <v>183</v>
      </c>
      <c r="B120" s="1"/>
      <c r="C120" s="1"/>
      <c r="D120" s="23">
        <f>D113+E113</f>
        <v>109.91358643710512</v>
      </c>
    </row>
    <row r="121" spans="1:10" x14ac:dyDescent="0.35">
      <c r="A121" s="1" t="s">
        <v>184</v>
      </c>
      <c r="B121" s="1"/>
      <c r="C121" s="1"/>
      <c r="D121" s="23">
        <f>AVERAGE(C9:C113)</f>
        <v>116.74285714285715</v>
      </c>
    </row>
  </sheetData>
  <mergeCells count="9">
    <mergeCell ref="A118:C118"/>
    <mergeCell ref="A119:C119"/>
    <mergeCell ref="A120:C120"/>
    <mergeCell ref="A121:C121"/>
    <mergeCell ref="A1:J1"/>
    <mergeCell ref="A2:J2"/>
    <mergeCell ref="A115:D115"/>
    <mergeCell ref="A116:C116"/>
    <mergeCell ref="A117:C117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21"/>
  <sheetViews>
    <sheetView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8.6328125" defaultRowHeight="14.5" x14ac:dyDescent="0.35"/>
  <cols>
    <col min="1" max="1" width="9" customWidth="1"/>
    <col min="2" max="2" width="12" customWidth="1"/>
    <col min="3" max="3" width="9" customWidth="1"/>
    <col min="4" max="6" width="11" customWidth="1"/>
    <col min="7" max="8" width="10" customWidth="1"/>
    <col min="9" max="9" width="11" customWidth="1"/>
    <col min="10" max="10" width="10" customWidth="1"/>
  </cols>
  <sheetData>
    <row r="1" spans="1:10" ht="18" x14ac:dyDescent="0.4">
      <c r="A1" s="3" t="s">
        <v>185</v>
      </c>
      <c r="B1" s="3"/>
      <c r="C1" s="3"/>
      <c r="D1" s="3"/>
      <c r="E1" s="3"/>
      <c r="F1" s="3"/>
      <c r="G1" s="3"/>
      <c r="H1" s="3"/>
      <c r="I1" s="3"/>
      <c r="J1" s="3"/>
    </row>
    <row r="2" spans="1:10" ht="27.75" customHeight="1" x14ac:dyDescent="0.35">
      <c r="A2" s="4" t="s">
        <v>163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35">
      <c r="A4" s="15" t="s">
        <v>164</v>
      </c>
      <c r="B4" s="16" t="s">
        <v>6</v>
      </c>
      <c r="D4" s="15" t="s">
        <v>165</v>
      </c>
      <c r="E4" s="17">
        <v>0.4</v>
      </c>
      <c r="G4" s="15" t="s">
        <v>166</v>
      </c>
      <c r="H4" s="17">
        <v>0.1</v>
      </c>
    </row>
    <row r="5" spans="1:10" x14ac:dyDescent="0.35">
      <c r="A5" s="15" t="s">
        <v>167</v>
      </c>
      <c r="B5" s="18">
        <f>'Data Mentah'!D5</f>
        <v>25</v>
      </c>
      <c r="D5" s="15" t="s">
        <v>168</v>
      </c>
      <c r="E5" s="17">
        <v>0</v>
      </c>
    </row>
    <row r="7" spans="1:10" x14ac:dyDescent="0.35">
      <c r="A7" s="5" t="s">
        <v>169</v>
      </c>
      <c r="B7" s="5" t="s">
        <v>4</v>
      </c>
      <c r="C7" s="5" t="s">
        <v>170</v>
      </c>
      <c r="D7" s="5" t="s">
        <v>171</v>
      </c>
      <c r="E7" s="5" t="s">
        <v>172</v>
      </c>
      <c r="F7" s="5" t="s">
        <v>173</v>
      </c>
      <c r="G7" s="5" t="s">
        <v>174</v>
      </c>
      <c r="H7" s="5" t="s">
        <v>175</v>
      </c>
      <c r="I7" s="5" t="s">
        <v>176</v>
      </c>
      <c r="J7" s="5" t="s">
        <v>177</v>
      </c>
    </row>
    <row r="8" spans="1:10" x14ac:dyDescent="0.35">
      <c r="A8" s="6">
        <v>0</v>
      </c>
      <c r="B8" s="19" t="str">
        <f>'Data Mentah'!B5</f>
        <v>26/12/2022</v>
      </c>
      <c r="C8" s="19">
        <f>'Data Mentah'!D5</f>
        <v>25</v>
      </c>
      <c r="D8" s="10">
        <f>$B$5</f>
        <v>25</v>
      </c>
      <c r="E8" s="10">
        <f>$E$5</f>
        <v>0</v>
      </c>
    </row>
    <row r="9" spans="1:10" x14ac:dyDescent="0.35">
      <c r="A9" s="6">
        <v>1</v>
      </c>
      <c r="B9" s="19" t="str">
        <f>'Data Mentah'!B6</f>
        <v>02/01/2023</v>
      </c>
      <c r="C9" s="19">
        <f>'Data Mentah'!D6</f>
        <v>54</v>
      </c>
      <c r="D9" s="20">
        <f t="shared" ref="D9:D40" si="0">$E$4*C9+(1-$E$4)*(D8+E8)</f>
        <v>36.6</v>
      </c>
      <c r="E9" s="20">
        <f t="shared" ref="E9:E40" si="1">$H$4*(D9-D8)+(1-$H$4)*E8</f>
        <v>1.1600000000000001</v>
      </c>
      <c r="F9" s="20">
        <f t="shared" ref="F9:F40" si="2">D8+E8</f>
        <v>25</v>
      </c>
      <c r="G9" s="20">
        <f t="shared" ref="G9:G40" si="3">C9-F9</f>
        <v>29</v>
      </c>
      <c r="H9" s="20">
        <f t="shared" ref="H9:H40" si="4">ABS(G9)</f>
        <v>29</v>
      </c>
      <c r="I9" s="21">
        <f t="shared" ref="I9:I40" si="5">G9^2</f>
        <v>841</v>
      </c>
      <c r="J9" s="21">
        <f t="shared" ref="J9:J40" si="6">ABS(G9/C9)*100</f>
        <v>53.703703703703709</v>
      </c>
    </row>
    <row r="10" spans="1:10" x14ac:dyDescent="0.35">
      <c r="A10" s="6">
        <v>2</v>
      </c>
      <c r="B10" s="19" t="str">
        <f>'Data Mentah'!B7</f>
        <v>09/01/2023</v>
      </c>
      <c r="C10" s="19">
        <f>'Data Mentah'!D7</f>
        <v>80</v>
      </c>
      <c r="D10" s="20">
        <f t="shared" si="0"/>
        <v>54.656000000000006</v>
      </c>
      <c r="E10" s="20">
        <f t="shared" si="1"/>
        <v>2.8496000000000006</v>
      </c>
      <c r="F10" s="20">
        <f t="shared" si="2"/>
        <v>37.760000000000005</v>
      </c>
      <c r="G10" s="20">
        <f t="shared" si="3"/>
        <v>42.239999999999995</v>
      </c>
      <c r="H10" s="20">
        <f t="shared" si="4"/>
        <v>42.239999999999995</v>
      </c>
      <c r="I10" s="21">
        <f t="shared" si="5"/>
        <v>1784.2175999999995</v>
      </c>
      <c r="J10" s="21">
        <f t="shared" si="6"/>
        <v>52.79999999999999</v>
      </c>
    </row>
    <row r="11" spans="1:10" x14ac:dyDescent="0.35">
      <c r="A11" s="6">
        <v>3</v>
      </c>
      <c r="B11" s="19" t="str">
        <f>'Data Mentah'!B8</f>
        <v>16/01/2023</v>
      </c>
      <c r="C11" s="19">
        <f>'Data Mentah'!D8</f>
        <v>89</v>
      </c>
      <c r="D11" s="20">
        <f t="shared" si="0"/>
        <v>70.103360000000009</v>
      </c>
      <c r="E11" s="20">
        <f t="shared" si="1"/>
        <v>4.109376000000001</v>
      </c>
      <c r="F11" s="20">
        <f t="shared" si="2"/>
        <v>57.505600000000008</v>
      </c>
      <c r="G11" s="20">
        <f t="shared" si="3"/>
        <v>31.494399999999992</v>
      </c>
      <c r="H11" s="20">
        <f t="shared" si="4"/>
        <v>31.494399999999992</v>
      </c>
      <c r="I11" s="21">
        <f t="shared" si="5"/>
        <v>991.89723135999952</v>
      </c>
      <c r="J11" s="21">
        <f t="shared" si="6"/>
        <v>35.386966292134822</v>
      </c>
    </row>
    <row r="12" spans="1:10" x14ac:dyDescent="0.35">
      <c r="A12" s="6">
        <v>4</v>
      </c>
      <c r="B12" s="19" t="str">
        <f>'Data Mentah'!B9</f>
        <v>23/01/2023</v>
      </c>
      <c r="C12" s="19">
        <f>'Data Mentah'!D9</f>
        <v>114</v>
      </c>
      <c r="D12" s="20">
        <f t="shared" si="0"/>
        <v>90.127641600000004</v>
      </c>
      <c r="E12" s="20">
        <f t="shared" si="1"/>
        <v>5.7008665600000006</v>
      </c>
      <c r="F12" s="20">
        <f t="shared" si="2"/>
        <v>74.212736000000007</v>
      </c>
      <c r="G12" s="20">
        <f t="shared" si="3"/>
        <v>39.787263999999993</v>
      </c>
      <c r="H12" s="20">
        <f t="shared" si="4"/>
        <v>39.787263999999993</v>
      </c>
      <c r="I12" s="21">
        <f t="shared" si="5"/>
        <v>1583.0263766056955</v>
      </c>
      <c r="J12" s="21">
        <f t="shared" si="6"/>
        <v>34.90110877192982</v>
      </c>
    </row>
    <row r="13" spans="1:10" x14ac:dyDescent="0.35">
      <c r="A13" s="6">
        <v>5</v>
      </c>
      <c r="B13" s="19" t="str">
        <f>'Data Mentah'!B10</f>
        <v>30/01/2023</v>
      </c>
      <c r="C13" s="19">
        <f>'Data Mentah'!D10</f>
        <v>123</v>
      </c>
      <c r="D13" s="20">
        <f t="shared" si="0"/>
        <v>106.697104896</v>
      </c>
      <c r="E13" s="20">
        <f t="shared" si="1"/>
        <v>6.7877262335999999</v>
      </c>
      <c r="F13" s="20">
        <f t="shared" si="2"/>
        <v>95.828508159999998</v>
      </c>
      <c r="G13" s="20">
        <f t="shared" si="3"/>
        <v>27.171491840000002</v>
      </c>
      <c r="H13" s="20">
        <f t="shared" si="4"/>
        <v>27.171491840000002</v>
      </c>
      <c r="I13" s="21">
        <f t="shared" si="5"/>
        <v>738.28996881118667</v>
      </c>
      <c r="J13" s="21">
        <f t="shared" si="6"/>
        <v>22.090643772357723</v>
      </c>
    </row>
    <row r="14" spans="1:10" x14ac:dyDescent="0.35">
      <c r="A14" s="6">
        <v>6</v>
      </c>
      <c r="B14" s="19" t="str">
        <f>'Data Mentah'!B11</f>
        <v>06/02/2023</v>
      </c>
      <c r="C14" s="19">
        <f>'Data Mentah'!D11</f>
        <v>129</v>
      </c>
      <c r="D14" s="20">
        <f t="shared" si="0"/>
        <v>119.69089867776</v>
      </c>
      <c r="E14" s="20">
        <f t="shared" si="1"/>
        <v>7.4083329884160012</v>
      </c>
      <c r="F14" s="20">
        <f t="shared" si="2"/>
        <v>113.4848311296</v>
      </c>
      <c r="G14" s="20">
        <f t="shared" si="3"/>
        <v>15.515168870400004</v>
      </c>
      <c r="H14" s="20">
        <f t="shared" si="4"/>
        <v>15.515168870400004</v>
      </c>
      <c r="I14" s="21">
        <f t="shared" si="5"/>
        <v>240.72046507702933</v>
      </c>
      <c r="J14" s="21">
        <f t="shared" si="6"/>
        <v>12.027262690232561</v>
      </c>
    </row>
    <row r="15" spans="1:10" x14ac:dyDescent="0.35">
      <c r="A15" s="6">
        <v>7</v>
      </c>
      <c r="B15" s="19" t="str">
        <f>'Data Mentah'!B12</f>
        <v>13/02/2023</v>
      </c>
      <c r="C15" s="19">
        <f>'Data Mentah'!D12</f>
        <v>118</v>
      </c>
      <c r="D15" s="20">
        <f t="shared" si="0"/>
        <v>123.4595389997056</v>
      </c>
      <c r="E15" s="20">
        <f t="shared" si="1"/>
        <v>7.0443637217689608</v>
      </c>
      <c r="F15" s="20">
        <f t="shared" si="2"/>
        <v>127.09923166617601</v>
      </c>
      <c r="G15" s="20">
        <f t="shared" si="3"/>
        <v>-9.09923166617601</v>
      </c>
      <c r="H15" s="20">
        <f t="shared" si="4"/>
        <v>9.09923166617601</v>
      </c>
      <c r="I15" s="21">
        <f t="shared" si="5"/>
        <v>82.79601691474025</v>
      </c>
      <c r="J15" s="21">
        <f t="shared" si="6"/>
        <v>7.7112132764203478</v>
      </c>
    </row>
    <row r="16" spans="1:10" x14ac:dyDescent="0.35">
      <c r="A16" s="6">
        <v>8</v>
      </c>
      <c r="B16" s="19" t="str">
        <f>'Data Mentah'!B13</f>
        <v>20/02/2023</v>
      </c>
      <c r="C16" s="19">
        <f>'Data Mentah'!D13</f>
        <v>117</v>
      </c>
      <c r="D16" s="20">
        <f t="shared" si="0"/>
        <v>125.10234163288473</v>
      </c>
      <c r="E16" s="20">
        <f t="shared" si="1"/>
        <v>6.504207612909978</v>
      </c>
      <c r="F16" s="20">
        <f t="shared" si="2"/>
        <v>130.50390272147456</v>
      </c>
      <c r="G16" s="20">
        <f t="shared" si="3"/>
        <v>-13.50390272147456</v>
      </c>
      <c r="H16" s="20">
        <f t="shared" si="4"/>
        <v>13.50390272147456</v>
      </c>
      <c r="I16" s="21">
        <f t="shared" si="5"/>
        <v>182.35538871104802</v>
      </c>
      <c r="J16" s="21">
        <f t="shared" si="6"/>
        <v>11.541797197841504</v>
      </c>
    </row>
    <row r="17" spans="1:10" x14ac:dyDescent="0.35">
      <c r="A17" s="6">
        <v>9</v>
      </c>
      <c r="B17" s="19" t="str">
        <f>'Data Mentah'!B14</f>
        <v>27/02/2023</v>
      </c>
      <c r="C17" s="19">
        <f>'Data Mentah'!D14</f>
        <v>116</v>
      </c>
      <c r="D17" s="20">
        <f t="shared" si="0"/>
        <v>125.36392954747681</v>
      </c>
      <c r="E17" s="20">
        <f t="shared" si="1"/>
        <v>5.8799456430781882</v>
      </c>
      <c r="F17" s="20">
        <f t="shared" si="2"/>
        <v>131.6065492457947</v>
      </c>
      <c r="G17" s="20">
        <f t="shared" si="3"/>
        <v>-15.606549245794696</v>
      </c>
      <c r="H17" s="20">
        <f t="shared" si="4"/>
        <v>15.606549245794696</v>
      </c>
      <c r="I17" s="21">
        <f t="shared" si="5"/>
        <v>243.56437936141498</v>
      </c>
      <c r="J17" s="21">
        <f t="shared" si="6"/>
        <v>13.453921763616117</v>
      </c>
    </row>
    <row r="18" spans="1:10" x14ac:dyDescent="0.35">
      <c r="A18" s="6">
        <v>10</v>
      </c>
      <c r="B18" s="19" t="str">
        <f>'Data Mentah'!B15</f>
        <v>06/03/2023</v>
      </c>
      <c r="C18" s="19">
        <f>'Data Mentah'!D15</f>
        <v>108</v>
      </c>
      <c r="D18" s="20">
        <f t="shared" si="0"/>
        <v>121.94632511433301</v>
      </c>
      <c r="E18" s="20">
        <f t="shared" si="1"/>
        <v>4.9501906354559893</v>
      </c>
      <c r="F18" s="20">
        <f t="shared" si="2"/>
        <v>131.243875190555</v>
      </c>
      <c r="G18" s="20">
        <f t="shared" si="3"/>
        <v>-23.243875190555002</v>
      </c>
      <c r="H18" s="20">
        <f t="shared" si="4"/>
        <v>23.243875190555002</v>
      </c>
      <c r="I18" s="21">
        <f t="shared" si="5"/>
        <v>540.27773387409832</v>
      </c>
      <c r="J18" s="21">
        <f t="shared" si="6"/>
        <v>21.522106657921299</v>
      </c>
    </row>
    <row r="19" spans="1:10" x14ac:dyDescent="0.35">
      <c r="A19" s="6">
        <v>11</v>
      </c>
      <c r="B19" s="19" t="str">
        <f>'Data Mentah'!B16</f>
        <v>13/03/2023</v>
      </c>
      <c r="C19" s="19">
        <f>'Data Mentah'!D16</f>
        <v>113</v>
      </c>
      <c r="D19" s="20">
        <f t="shared" si="0"/>
        <v>121.33790944987339</v>
      </c>
      <c r="E19" s="20">
        <f t="shared" si="1"/>
        <v>4.394330005464429</v>
      </c>
      <c r="F19" s="20">
        <f t="shared" si="2"/>
        <v>126.89651574978899</v>
      </c>
      <c r="G19" s="20">
        <f t="shared" si="3"/>
        <v>-13.896515749788989</v>
      </c>
      <c r="H19" s="20">
        <f t="shared" si="4"/>
        <v>13.896515749788989</v>
      </c>
      <c r="I19" s="21">
        <f t="shared" si="5"/>
        <v>193.11314998413343</v>
      </c>
      <c r="J19" s="21">
        <f t="shared" si="6"/>
        <v>12.297801548485833</v>
      </c>
    </row>
    <row r="20" spans="1:10" x14ac:dyDescent="0.35">
      <c r="A20" s="6">
        <v>12</v>
      </c>
      <c r="B20" s="19" t="str">
        <f>'Data Mentah'!B17</f>
        <v>20/03/2023</v>
      </c>
      <c r="C20" s="19">
        <f>'Data Mentah'!D17</f>
        <v>106</v>
      </c>
      <c r="D20" s="20">
        <f t="shared" si="0"/>
        <v>117.83934367320269</v>
      </c>
      <c r="E20" s="20">
        <f t="shared" si="1"/>
        <v>3.6050404272509162</v>
      </c>
      <c r="F20" s="20">
        <f t="shared" si="2"/>
        <v>125.73223945533782</v>
      </c>
      <c r="G20" s="20">
        <f t="shared" si="3"/>
        <v>-19.732239455337819</v>
      </c>
      <c r="H20" s="20">
        <f t="shared" si="4"/>
        <v>19.732239455337819</v>
      </c>
      <c r="I20" s="21">
        <f t="shared" si="5"/>
        <v>389.36127392279053</v>
      </c>
      <c r="J20" s="21">
        <f t="shared" si="6"/>
        <v>18.615320240884735</v>
      </c>
    </row>
    <row r="21" spans="1:10" x14ac:dyDescent="0.35">
      <c r="A21" s="6">
        <v>13</v>
      </c>
      <c r="B21" s="19" t="str">
        <f>'Data Mentah'!B18</f>
        <v>27/03/2023</v>
      </c>
      <c r="C21" s="19">
        <f>'Data Mentah'!D18</f>
        <v>108</v>
      </c>
      <c r="D21" s="20">
        <f t="shared" si="0"/>
        <v>116.06663046027217</v>
      </c>
      <c r="E21" s="20">
        <f t="shared" si="1"/>
        <v>3.0672650632327718</v>
      </c>
      <c r="F21" s="20">
        <f t="shared" si="2"/>
        <v>121.4443841004536</v>
      </c>
      <c r="G21" s="20">
        <f t="shared" si="3"/>
        <v>-13.444384100453604</v>
      </c>
      <c r="H21" s="20">
        <f t="shared" si="4"/>
        <v>13.444384100453604</v>
      </c>
      <c r="I21" s="21">
        <f t="shared" si="5"/>
        <v>180.75146384052965</v>
      </c>
      <c r="J21" s="21">
        <f t="shared" si="6"/>
        <v>12.448503796716299</v>
      </c>
    </row>
    <row r="22" spans="1:10" x14ac:dyDescent="0.35">
      <c r="A22" s="6">
        <v>14</v>
      </c>
      <c r="B22" s="19" t="str">
        <f>'Data Mentah'!B19</f>
        <v>03/04/2023</v>
      </c>
      <c r="C22" s="19">
        <f>'Data Mentah'!D19</f>
        <v>112</v>
      </c>
      <c r="D22" s="20">
        <f t="shared" si="0"/>
        <v>116.28033731410295</v>
      </c>
      <c r="E22" s="20">
        <f t="shared" si="1"/>
        <v>2.7819092422925733</v>
      </c>
      <c r="F22" s="20">
        <f t="shared" si="2"/>
        <v>119.13389552350493</v>
      </c>
      <c r="G22" s="20">
        <f t="shared" si="3"/>
        <v>-7.1338955235049326</v>
      </c>
      <c r="H22" s="20">
        <f t="shared" si="4"/>
        <v>7.1338955235049326</v>
      </c>
      <c r="I22" s="21">
        <f t="shared" si="5"/>
        <v>50.892465340283714</v>
      </c>
      <c r="J22" s="21">
        <f t="shared" si="6"/>
        <v>6.3695495745579755</v>
      </c>
    </row>
    <row r="23" spans="1:10" x14ac:dyDescent="0.35">
      <c r="A23" s="6">
        <v>15</v>
      </c>
      <c r="B23" s="19" t="str">
        <f>'Data Mentah'!B20</f>
        <v>10/04/2023</v>
      </c>
      <c r="C23" s="19">
        <f>'Data Mentah'!D20</f>
        <v>115</v>
      </c>
      <c r="D23" s="20">
        <f t="shared" si="0"/>
        <v>117.43734793383732</v>
      </c>
      <c r="E23" s="20">
        <f t="shared" si="1"/>
        <v>2.6194193800367529</v>
      </c>
      <c r="F23" s="20">
        <f t="shared" si="2"/>
        <v>119.06224655639552</v>
      </c>
      <c r="G23" s="20">
        <f t="shared" si="3"/>
        <v>-4.0622465563955217</v>
      </c>
      <c r="H23" s="20">
        <f t="shared" si="4"/>
        <v>4.0622465563955217</v>
      </c>
      <c r="I23" s="21">
        <f t="shared" si="5"/>
        <v>16.501847084947276</v>
      </c>
      <c r="J23" s="21">
        <f t="shared" si="6"/>
        <v>3.5323883099091491</v>
      </c>
    </row>
    <row r="24" spans="1:10" x14ac:dyDescent="0.35">
      <c r="A24" s="6">
        <v>16</v>
      </c>
      <c r="B24" s="19" t="str">
        <f>'Data Mentah'!B21</f>
        <v>17/04/2023</v>
      </c>
      <c r="C24" s="19">
        <f>'Data Mentah'!D21</f>
        <v>116</v>
      </c>
      <c r="D24" s="20">
        <f t="shared" si="0"/>
        <v>118.43406038832445</v>
      </c>
      <c r="E24" s="20">
        <f t="shared" si="1"/>
        <v>2.4571486874817912</v>
      </c>
      <c r="F24" s="20">
        <f t="shared" si="2"/>
        <v>120.05676731387408</v>
      </c>
      <c r="G24" s="20">
        <f t="shared" si="3"/>
        <v>-4.0567673138740759</v>
      </c>
      <c r="H24" s="20">
        <f t="shared" si="4"/>
        <v>4.0567673138740759</v>
      </c>
      <c r="I24" s="21">
        <f t="shared" si="5"/>
        <v>16.457361038917085</v>
      </c>
      <c r="J24" s="21">
        <f t="shared" si="6"/>
        <v>3.4972132016155828</v>
      </c>
    </row>
    <row r="25" spans="1:10" x14ac:dyDescent="0.35">
      <c r="A25" s="6">
        <v>17</v>
      </c>
      <c r="B25" s="19" t="str">
        <f>'Data Mentah'!B22</f>
        <v>24/04/2023</v>
      </c>
      <c r="C25" s="19">
        <f>'Data Mentah'!D22</f>
        <v>117</v>
      </c>
      <c r="D25" s="20">
        <f t="shared" si="0"/>
        <v>119.33472544548374</v>
      </c>
      <c r="E25" s="20">
        <f t="shared" si="1"/>
        <v>2.3015003244495409</v>
      </c>
      <c r="F25" s="20">
        <f t="shared" si="2"/>
        <v>120.89120907580624</v>
      </c>
      <c r="G25" s="20">
        <f t="shared" si="3"/>
        <v>-3.8912090758062448</v>
      </c>
      <c r="H25" s="20">
        <f t="shared" si="4"/>
        <v>3.8912090758062448</v>
      </c>
      <c r="I25" s="21">
        <f t="shared" si="5"/>
        <v>15.14150807163689</v>
      </c>
      <c r="J25" s="21">
        <f t="shared" si="6"/>
        <v>3.3258197229113202</v>
      </c>
    </row>
    <row r="26" spans="1:10" x14ac:dyDescent="0.35">
      <c r="A26" s="6">
        <v>18</v>
      </c>
      <c r="B26" s="19" t="str">
        <f>'Data Mentah'!B23</f>
        <v>01/05/2023</v>
      </c>
      <c r="C26" s="19">
        <f>'Data Mentah'!D23</f>
        <v>112</v>
      </c>
      <c r="D26" s="20">
        <f t="shared" si="0"/>
        <v>117.78173546195995</v>
      </c>
      <c r="E26" s="20">
        <f t="shared" si="1"/>
        <v>1.9160512936522083</v>
      </c>
      <c r="F26" s="20">
        <f t="shared" si="2"/>
        <v>121.63622576993328</v>
      </c>
      <c r="G26" s="20">
        <f t="shared" si="3"/>
        <v>-9.6362257699332758</v>
      </c>
      <c r="H26" s="20">
        <f t="shared" si="4"/>
        <v>9.6362257699332758</v>
      </c>
      <c r="I26" s="21">
        <f t="shared" si="5"/>
        <v>92.856847089126148</v>
      </c>
      <c r="J26" s="21">
        <f t="shared" si="6"/>
        <v>8.6037730088689965</v>
      </c>
    </row>
    <row r="27" spans="1:10" x14ac:dyDescent="0.35">
      <c r="A27" s="6">
        <v>19</v>
      </c>
      <c r="B27" s="19" t="str">
        <f>'Data Mentah'!B24</f>
        <v>08/05/2023</v>
      </c>
      <c r="C27" s="19">
        <f>'Data Mentah'!D24</f>
        <v>122</v>
      </c>
      <c r="D27" s="20">
        <f t="shared" si="0"/>
        <v>120.61867205336731</v>
      </c>
      <c r="E27" s="20">
        <f t="shared" si="1"/>
        <v>2.0081398234277228</v>
      </c>
      <c r="F27" s="20">
        <f t="shared" si="2"/>
        <v>119.69778675561216</v>
      </c>
      <c r="G27" s="20">
        <f t="shared" si="3"/>
        <v>2.3022132443878434</v>
      </c>
      <c r="H27" s="20">
        <f t="shared" si="4"/>
        <v>2.3022132443878434</v>
      </c>
      <c r="I27" s="21">
        <f t="shared" si="5"/>
        <v>5.3001858226348002</v>
      </c>
      <c r="J27" s="21">
        <f t="shared" si="6"/>
        <v>1.8870600363834784</v>
      </c>
    </row>
    <row r="28" spans="1:10" x14ac:dyDescent="0.35">
      <c r="A28" s="6">
        <v>20</v>
      </c>
      <c r="B28" s="19" t="str">
        <f>'Data Mentah'!B25</f>
        <v>15/05/2023</v>
      </c>
      <c r="C28" s="19">
        <f>'Data Mentah'!D25</f>
        <v>121</v>
      </c>
      <c r="D28" s="20">
        <f t="shared" si="0"/>
        <v>121.97608712607702</v>
      </c>
      <c r="E28" s="20">
        <f t="shared" si="1"/>
        <v>1.943067348355922</v>
      </c>
      <c r="F28" s="20">
        <f t="shared" si="2"/>
        <v>122.62681187679503</v>
      </c>
      <c r="G28" s="20">
        <f t="shared" si="3"/>
        <v>-1.6268118767950313</v>
      </c>
      <c r="H28" s="20">
        <f t="shared" si="4"/>
        <v>1.6268118767950313</v>
      </c>
      <c r="I28" s="21">
        <f t="shared" si="5"/>
        <v>2.6465168824813721</v>
      </c>
      <c r="J28" s="21">
        <f t="shared" si="6"/>
        <v>1.3444726254504391</v>
      </c>
    </row>
    <row r="29" spans="1:10" x14ac:dyDescent="0.35">
      <c r="A29" s="6">
        <v>21</v>
      </c>
      <c r="B29" s="19" t="str">
        <f>'Data Mentah'!B26</f>
        <v>22/05/2023</v>
      </c>
      <c r="C29" s="19">
        <f>'Data Mentah'!D26</f>
        <v>126</v>
      </c>
      <c r="D29" s="20">
        <f t="shared" si="0"/>
        <v>124.75149268465977</v>
      </c>
      <c r="E29" s="20">
        <f t="shared" si="1"/>
        <v>2.0263011693786046</v>
      </c>
      <c r="F29" s="20">
        <f t="shared" si="2"/>
        <v>123.91915447443294</v>
      </c>
      <c r="G29" s="20">
        <f t="shared" si="3"/>
        <v>2.0808455255670566</v>
      </c>
      <c r="H29" s="20">
        <f t="shared" si="4"/>
        <v>2.0808455255670566</v>
      </c>
      <c r="I29" s="21">
        <f t="shared" si="5"/>
        <v>4.3299181012724404</v>
      </c>
      <c r="J29" s="21">
        <f t="shared" si="6"/>
        <v>1.6514647028309972</v>
      </c>
    </row>
    <row r="30" spans="1:10" x14ac:dyDescent="0.35">
      <c r="A30" s="6">
        <v>22</v>
      </c>
      <c r="B30" s="19" t="str">
        <f>'Data Mentah'!B27</f>
        <v>29/05/2023</v>
      </c>
      <c r="C30" s="19">
        <f>'Data Mentah'!D27</f>
        <v>128</v>
      </c>
      <c r="D30" s="20">
        <f t="shared" si="0"/>
        <v>127.26667631242302</v>
      </c>
      <c r="E30" s="20">
        <f t="shared" si="1"/>
        <v>2.0751894152170691</v>
      </c>
      <c r="F30" s="20">
        <f t="shared" si="2"/>
        <v>126.77779385403836</v>
      </c>
      <c r="G30" s="20">
        <f t="shared" si="3"/>
        <v>1.2222061459616356</v>
      </c>
      <c r="H30" s="20">
        <f t="shared" si="4"/>
        <v>1.2222061459616356</v>
      </c>
      <c r="I30" s="21">
        <f t="shared" si="5"/>
        <v>1.4937878632263948</v>
      </c>
      <c r="J30" s="21">
        <f t="shared" si="6"/>
        <v>0.95484855153252779</v>
      </c>
    </row>
    <row r="31" spans="1:10" x14ac:dyDescent="0.35">
      <c r="A31" s="6">
        <v>23</v>
      </c>
      <c r="B31" s="19" t="str">
        <f>'Data Mentah'!B28</f>
        <v>05/06/2023</v>
      </c>
      <c r="C31" s="19">
        <f>'Data Mentah'!D28</f>
        <v>119</v>
      </c>
      <c r="D31" s="20">
        <f t="shared" si="0"/>
        <v>125.20511943658406</v>
      </c>
      <c r="E31" s="20">
        <f t="shared" si="1"/>
        <v>1.6615147861114661</v>
      </c>
      <c r="F31" s="20">
        <f t="shared" si="2"/>
        <v>129.34186572764008</v>
      </c>
      <c r="G31" s="20">
        <f t="shared" si="3"/>
        <v>-10.341865727640084</v>
      </c>
      <c r="H31" s="20">
        <f t="shared" si="4"/>
        <v>10.341865727640084</v>
      </c>
      <c r="I31" s="21">
        <f t="shared" si="5"/>
        <v>106.95418672853656</v>
      </c>
      <c r="J31" s="21">
        <f t="shared" si="6"/>
        <v>8.6906434686051117</v>
      </c>
    </row>
    <row r="32" spans="1:10" x14ac:dyDescent="0.35">
      <c r="A32" s="6">
        <v>24</v>
      </c>
      <c r="B32" s="19" t="str">
        <f>'Data Mentah'!B29</f>
        <v>12/06/2023</v>
      </c>
      <c r="C32" s="19">
        <f>'Data Mentah'!D29</f>
        <v>132</v>
      </c>
      <c r="D32" s="20">
        <f t="shared" si="0"/>
        <v>128.91998053361732</v>
      </c>
      <c r="E32" s="20">
        <f t="shared" si="1"/>
        <v>1.8668494172036458</v>
      </c>
      <c r="F32" s="20">
        <f t="shared" si="2"/>
        <v>126.86663422269552</v>
      </c>
      <c r="G32" s="20">
        <f t="shared" si="3"/>
        <v>5.1333657773044763</v>
      </c>
      <c r="H32" s="20">
        <f t="shared" si="4"/>
        <v>5.1333657773044763</v>
      </c>
      <c r="I32" s="21">
        <f t="shared" si="5"/>
        <v>26.351444203600789</v>
      </c>
      <c r="J32" s="21">
        <f t="shared" si="6"/>
        <v>3.8889134676549064</v>
      </c>
    </row>
    <row r="33" spans="1:10" x14ac:dyDescent="0.35">
      <c r="A33" s="6">
        <v>25</v>
      </c>
      <c r="B33" s="19" t="str">
        <f>'Data Mentah'!B30</f>
        <v>19/06/2023</v>
      </c>
      <c r="C33" s="19">
        <f>'Data Mentah'!D30</f>
        <v>119</v>
      </c>
      <c r="D33" s="20">
        <f t="shared" si="0"/>
        <v>126.07209797049256</v>
      </c>
      <c r="E33" s="20">
        <f t="shared" si="1"/>
        <v>1.3953762191708057</v>
      </c>
      <c r="F33" s="20">
        <f t="shared" si="2"/>
        <v>130.78682995082096</v>
      </c>
      <c r="G33" s="20">
        <f t="shared" si="3"/>
        <v>-11.786829950820959</v>
      </c>
      <c r="H33" s="20">
        <f t="shared" si="4"/>
        <v>11.786829950820959</v>
      </c>
      <c r="I33" s="21">
        <f t="shared" si="5"/>
        <v>138.92936028957001</v>
      </c>
      <c r="J33" s="21">
        <f t="shared" si="6"/>
        <v>9.9048991183369406</v>
      </c>
    </row>
    <row r="34" spans="1:10" x14ac:dyDescent="0.35">
      <c r="A34" s="6">
        <v>26</v>
      </c>
      <c r="B34" s="19" t="str">
        <f>'Data Mentah'!B31</f>
        <v>26/06/2023</v>
      </c>
      <c r="C34" s="19">
        <f>'Data Mentah'!D31</f>
        <v>118</v>
      </c>
      <c r="D34" s="20">
        <f t="shared" si="0"/>
        <v>123.68048451379802</v>
      </c>
      <c r="E34" s="20">
        <f t="shared" si="1"/>
        <v>1.0166772515842708</v>
      </c>
      <c r="F34" s="20">
        <f t="shared" si="2"/>
        <v>127.46747418966336</v>
      </c>
      <c r="G34" s="20">
        <f t="shared" si="3"/>
        <v>-9.4674741896633634</v>
      </c>
      <c r="H34" s="20">
        <f t="shared" si="4"/>
        <v>9.4674741896633634</v>
      </c>
      <c r="I34" s="21">
        <f t="shared" si="5"/>
        <v>89.633067531941961</v>
      </c>
      <c r="J34" s="21">
        <f t="shared" si="6"/>
        <v>8.0232832115791215</v>
      </c>
    </row>
    <row r="35" spans="1:10" x14ac:dyDescent="0.35">
      <c r="A35" s="6">
        <v>27</v>
      </c>
      <c r="B35" s="19" t="str">
        <f>'Data Mentah'!B32</f>
        <v>03/07/2023</v>
      </c>
      <c r="C35" s="19">
        <f>'Data Mentah'!D32</f>
        <v>129</v>
      </c>
      <c r="D35" s="20">
        <f t="shared" si="0"/>
        <v>126.41829705922936</v>
      </c>
      <c r="E35" s="20">
        <f t="shared" si="1"/>
        <v>1.1887907809689777</v>
      </c>
      <c r="F35" s="20">
        <f t="shared" si="2"/>
        <v>124.69716176538229</v>
      </c>
      <c r="G35" s="20">
        <f t="shared" si="3"/>
        <v>4.3028382346177096</v>
      </c>
      <c r="H35" s="20">
        <f t="shared" si="4"/>
        <v>4.3028382346177096</v>
      </c>
      <c r="I35" s="21">
        <f t="shared" si="5"/>
        <v>18.514416873288049</v>
      </c>
      <c r="J35" s="21">
        <f t="shared" si="6"/>
        <v>3.3355335152075267</v>
      </c>
    </row>
    <row r="36" spans="1:10" x14ac:dyDescent="0.35">
      <c r="A36" s="6">
        <v>28</v>
      </c>
      <c r="B36" s="19" t="str">
        <f>'Data Mentah'!B33</f>
        <v>10/07/2023</v>
      </c>
      <c r="C36" s="19">
        <f>'Data Mentah'!D33</f>
        <v>118</v>
      </c>
      <c r="D36" s="20">
        <f t="shared" si="0"/>
        <v>123.764252704119</v>
      </c>
      <c r="E36" s="20">
        <f t="shared" si="1"/>
        <v>0.80450726736104405</v>
      </c>
      <c r="F36" s="20">
        <f t="shared" si="2"/>
        <v>127.60708784019833</v>
      </c>
      <c r="G36" s="20">
        <f t="shared" si="3"/>
        <v>-9.6070878401983322</v>
      </c>
      <c r="H36" s="20">
        <f t="shared" si="4"/>
        <v>9.6070878401983322</v>
      </c>
      <c r="I36" s="21">
        <f t="shared" si="5"/>
        <v>92.296136769286662</v>
      </c>
      <c r="J36" s="21">
        <f t="shared" si="6"/>
        <v>8.1415998645748591</v>
      </c>
    </row>
    <row r="37" spans="1:10" x14ac:dyDescent="0.35">
      <c r="A37" s="6">
        <v>29</v>
      </c>
      <c r="B37" s="19" t="str">
        <f>'Data Mentah'!B34</f>
        <v>17/07/2023</v>
      </c>
      <c r="C37" s="19">
        <f>'Data Mentah'!D34</f>
        <v>135</v>
      </c>
      <c r="D37" s="20">
        <f t="shared" si="0"/>
        <v>128.74125598288802</v>
      </c>
      <c r="E37" s="20">
        <f t="shared" si="1"/>
        <v>1.2217568685018416</v>
      </c>
      <c r="F37" s="20">
        <f t="shared" si="2"/>
        <v>124.56875997148005</v>
      </c>
      <c r="G37" s="20">
        <f t="shared" si="3"/>
        <v>10.431240028519952</v>
      </c>
      <c r="H37" s="20">
        <f t="shared" si="4"/>
        <v>10.431240028519952</v>
      </c>
      <c r="I37" s="21">
        <f t="shared" si="5"/>
        <v>108.81076853259692</v>
      </c>
      <c r="J37" s="21">
        <f t="shared" si="6"/>
        <v>7.7268444655703341</v>
      </c>
    </row>
    <row r="38" spans="1:10" x14ac:dyDescent="0.35">
      <c r="A38" s="6">
        <v>30</v>
      </c>
      <c r="B38" s="19" t="str">
        <f>'Data Mentah'!B35</f>
        <v>24/07/2023</v>
      </c>
      <c r="C38" s="19">
        <f>'Data Mentah'!D35</f>
        <v>132</v>
      </c>
      <c r="D38" s="20">
        <f t="shared" si="0"/>
        <v>130.77780771083391</v>
      </c>
      <c r="E38" s="20">
        <f t="shared" si="1"/>
        <v>1.3032363544462466</v>
      </c>
      <c r="F38" s="20">
        <f t="shared" si="2"/>
        <v>129.96301285138986</v>
      </c>
      <c r="G38" s="20">
        <f t="shared" si="3"/>
        <v>2.0369871486101374</v>
      </c>
      <c r="H38" s="20">
        <f t="shared" si="4"/>
        <v>2.0369871486101374</v>
      </c>
      <c r="I38" s="21">
        <f t="shared" si="5"/>
        <v>4.1493166436028579</v>
      </c>
      <c r="J38" s="21">
        <f t="shared" si="6"/>
        <v>1.5431720822804071</v>
      </c>
    </row>
    <row r="39" spans="1:10" x14ac:dyDescent="0.35">
      <c r="A39" s="6">
        <v>31</v>
      </c>
      <c r="B39" s="19" t="str">
        <f>'Data Mentah'!B36</f>
        <v>31/07/2023</v>
      </c>
      <c r="C39" s="19">
        <f>'Data Mentah'!D36</f>
        <v>126</v>
      </c>
      <c r="D39" s="20">
        <f t="shared" si="0"/>
        <v>129.64862643916808</v>
      </c>
      <c r="E39" s="20">
        <f t="shared" si="1"/>
        <v>1.0599945918350391</v>
      </c>
      <c r="F39" s="20">
        <f t="shared" si="2"/>
        <v>132.08104406528017</v>
      </c>
      <c r="G39" s="20">
        <f t="shared" si="3"/>
        <v>-6.0810440652801674</v>
      </c>
      <c r="H39" s="20">
        <f t="shared" si="4"/>
        <v>6.0810440652801674</v>
      </c>
      <c r="I39" s="21">
        <f t="shared" si="5"/>
        <v>36.979096923879148</v>
      </c>
      <c r="J39" s="21">
        <f t="shared" si="6"/>
        <v>4.8262254486350535</v>
      </c>
    </row>
    <row r="40" spans="1:10" x14ac:dyDescent="0.35">
      <c r="A40" s="6">
        <v>32</v>
      </c>
      <c r="B40" s="19" t="str">
        <f>'Data Mentah'!B37</f>
        <v>07/08/2023</v>
      </c>
      <c r="C40" s="19">
        <f>'Data Mentah'!D37</f>
        <v>133</v>
      </c>
      <c r="D40" s="20">
        <f t="shared" si="0"/>
        <v>131.62517261860188</v>
      </c>
      <c r="E40" s="20">
        <f t="shared" si="1"/>
        <v>1.151649750594915</v>
      </c>
      <c r="F40" s="20">
        <f t="shared" si="2"/>
        <v>130.70862103100313</v>
      </c>
      <c r="G40" s="20">
        <f t="shared" si="3"/>
        <v>2.2913789689968667</v>
      </c>
      <c r="H40" s="20">
        <f t="shared" si="4"/>
        <v>2.2913789689968667</v>
      </c>
      <c r="I40" s="21">
        <f t="shared" si="5"/>
        <v>5.2504175795611436</v>
      </c>
      <c r="J40" s="21">
        <f t="shared" si="6"/>
        <v>1.7228413300728322</v>
      </c>
    </row>
    <row r="41" spans="1:10" x14ac:dyDescent="0.35">
      <c r="A41" s="6">
        <v>33</v>
      </c>
      <c r="B41" s="19" t="str">
        <f>'Data Mentah'!B38</f>
        <v>14/08/2023</v>
      </c>
      <c r="C41" s="19">
        <f>'Data Mentah'!D38</f>
        <v>124</v>
      </c>
      <c r="D41" s="20">
        <f t="shared" ref="D41:D72" si="7">$E$4*C41+(1-$E$4)*(D40+E40)</f>
        <v>129.26609342151806</v>
      </c>
      <c r="E41" s="20">
        <f t="shared" ref="E41:E72" si="8">$H$4*(D41-D40)+(1-$H$4)*E40</f>
        <v>0.80057685582704208</v>
      </c>
      <c r="F41" s="20">
        <f t="shared" ref="F41:F72" si="9">D40+E40</f>
        <v>132.77682236919679</v>
      </c>
      <c r="G41" s="20">
        <f t="shared" ref="G41:G72" si="10">C41-F41</f>
        <v>-8.7768223691967933</v>
      </c>
      <c r="H41" s="20">
        <f t="shared" ref="H41:H72" si="11">ABS(G41)</f>
        <v>8.7768223691967933</v>
      </c>
      <c r="I41" s="21">
        <f t="shared" ref="I41:I72" si="12">G41^2</f>
        <v>77.032610900433212</v>
      </c>
      <c r="J41" s="21">
        <f t="shared" ref="J41:J72" si="13">ABS(G41/C41)*100</f>
        <v>7.0780825558038645</v>
      </c>
    </row>
    <row r="42" spans="1:10" x14ac:dyDescent="0.35">
      <c r="A42" s="6">
        <v>34</v>
      </c>
      <c r="B42" s="19" t="str">
        <f>'Data Mentah'!B39</f>
        <v>21/08/2023</v>
      </c>
      <c r="C42" s="19">
        <f>'Data Mentah'!D39</f>
        <v>132</v>
      </c>
      <c r="D42" s="20">
        <f t="shared" si="7"/>
        <v>130.84000216640706</v>
      </c>
      <c r="E42" s="20">
        <f t="shared" si="8"/>
        <v>0.87791004473323753</v>
      </c>
      <c r="F42" s="20">
        <f t="shared" si="9"/>
        <v>130.06667027734511</v>
      </c>
      <c r="G42" s="20">
        <f t="shared" si="10"/>
        <v>1.9333297226548893</v>
      </c>
      <c r="H42" s="20">
        <f t="shared" si="11"/>
        <v>1.9333297226548893</v>
      </c>
      <c r="I42" s="21">
        <f t="shared" si="12"/>
        <v>3.7377638165008311</v>
      </c>
      <c r="J42" s="21">
        <f t="shared" si="13"/>
        <v>1.4646437292840071</v>
      </c>
    </row>
    <row r="43" spans="1:10" x14ac:dyDescent="0.35">
      <c r="A43" s="6">
        <v>35</v>
      </c>
      <c r="B43" s="19" t="str">
        <f>'Data Mentah'!B40</f>
        <v>28/08/2023</v>
      </c>
      <c r="C43" s="19">
        <f>'Data Mentah'!D40</f>
        <v>124</v>
      </c>
      <c r="D43" s="20">
        <f t="shared" si="7"/>
        <v>128.63074732668417</v>
      </c>
      <c r="E43" s="20">
        <f t="shared" si="8"/>
        <v>0.56919355628762491</v>
      </c>
      <c r="F43" s="20">
        <f t="shared" si="9"/>
        <v>131.71791221114029</v>
      </c>
      <c r="G43" s="20">
        <f t="shared" si="10"/>
        <v>-7.7179122111402876</v>
      </c>
      <c r="H43" s="20">
        <f t="shared" si="11"/>
        <v>7.7179122111402876</v>
      </c>
      <c r="I43" s="21">
        <f t="shared" si="12"/>
        <v>59.566168898868362</v>
      </c>
      <c r="J43" s="21">
        <f t="shared" si="13"/>
        <v>6.2241227509195873</v>
      </c>
    </row>
    <row r="44" spans="1:10" x14ac:dyDescent="0.35">
      <c r="A44" s="6">
        <v>36</v>
      </c>
      <c r="B44" s="19" t="str">
        <f>'Data Mentah'!B41</f>
        <v>04/09/2023</v>
      </c>
      <c r="C44" s="19">
        <f>'Data Mentah'!D41</f>
        <v>121</v>
      </c>
      <c r="D44" s="20">
        <f t="shared" si="7"/>
        <v>125.91996452978307</v>
      </c>
      <c r="E44" s="20">
        <f t="shared" si="8"/>
        <v>0.24119592096875242</v>
      </c>
      <c r="F44" s="20">
        <f t="shared" si="9"/>
        <v>129.19994088297179</v>
      </c>
      <c r="G44" s="20">
        <f t="shared" si="10"/>
        <v>-8.1999408829717879</v>
      </c>
      <c r="H44" s="20">
        <f t="shared" si="11"/>
        <v>8.1999408829717879</v>
      </c>
      <c r="I44" s="21">
        <f t="shared" si="12"/>
        <v>67.239030484232146</v>
      </c>
      <c r="J44" s="21">
        <f t="shared" si="13"/>
        <v>6.7768106470841225</v>
      </c>
    </row>
    <row r="45" spans="1:10" x14ac:dyDescent="0.35">
      <c r="A45" s="6">
        <v>37</v>
      </c>
      <c r="B45" s="19" t="str">
        <f>'Data Mentah'!B42</f>
        <v>11/09/2023</v>
      </c>
      <c r="C45" s="19">
        <f>'Data Mentah'!D42</f>
        <v>114</v>
      </c>
      <c r="D45" s="20">
        <f t="shared" si="7"/>
        <v>121.29669627045109</v>
      </c>
      <c r="E45" s="20">
        <f t="shared" si="8"/>
        <v>-0.24525049706132077</v>
      </c>
      <c r="F45" s="20">
        <f t="shared" si="9"/>
        <v>126.16116045075182</v>
      </c>
      <c r="G45" s="20">
        <f t="shared" si="10"/>
        <v>-12.161160450751822</v>
      </c>
      <c r="H45" s="20">
        <f t="shared" si="11"/>
        <v>12.161160450751822</v>
      </c>
      <c r="I45" s="21">
        <f t="shared" si="12"/>
        <v>147.89382350893027</v>
      </c>
      <c r="J45" s="21">
        <f t="shared" si="13"/>
        <v>10.66768460592265</v>
      </c>
    </row>
    <row r="46" spans="1:10" x14ac:dyDescent="0.35">
      <c r="A46" s="6">
        <v>38</v>
      </c>
      <c r="B46" s="19" t="str">
        <f>'Data Mentah'!B43</f>
        <v>18/09/2023</v>
      </c>
      <c r="C46" s="19">
        <f>'Data Mentah'!D43</f>
        <v>109</v>
      </c>
      <c r="D46" s="20">
        <f t="shared" si="7"/>
        <v>116.23086746403385</v>
      </c>
      <c r="E46" s="20">
        <f t="shared" si="8"/>
        <v>-0.72730832799691314</v>
      </c>
      <c r="F46" s="20">
        <f t="shared" si="9"/>
        <v>121.05144577338977</v>
      </c>
      <c r="G46" s="20">
        <f t="shared" si="10"/>
        <v>-12.051445773389773</v>
      </c>
      <c r="H46" s="20">
        <f t="shared" si="11"/>
        <v>12.051445773389773</v>
      </c>
      <c r="I46" s="21">
        <f t="shared" si="12"/>
        <v>145.23734522895421</v>
      </c>
      <c r="J46" s="21">
        <f t="shared" si="13"/>
        <v>11.05637226916493</v>
      </c>
    </row>
    <row r="47" spans="1:10" x14ac:dyDescent="0.35">
      <c r="A47" s="6">
        <v>39</v>
      </c>
      <c r="B47" s="19" t="str">
        <f>'Data Mentah'!B44</f>
        <v>25/09/2023</v>
      </c>
      <c r="C47" s="19">
        <f>'Data Mentah'!D44</f>
        <v>115</v>
      </c>
      <c r="D47" s="20">
        <f t="shared" si="7"/>
        <v>115.30213548162216</v>
      </c>
      <c r="E47" s="20">
        <f t="shared" si="8"/>
        <v>-0.74745069343839088</v>
      </c>
      <c r="F47" s="20">
        <f t="shared" si="9"/>
        <v>115.50355913603694</v>
      </c>
      <c r="G47" s="20">
        <f t="shared" si="10"/>
        <v>-0.50355913603694091</v>
      </c>
      <c r="H47" s="20">
        <f t="shared" si="11"/>
        <v>0.50355913603694091</v>
      </c>
      <c r="I47" s="21">
        <f t="shared" si="12"/>
        <v>0.25357180348627034</v>
      </c>
      <c r="J47" s="21">
        <f t="shared" si="13"/>
        <v>0.4378775095973399</v>
      </c>
    </row>
    <row r="48" spans="1:10" x14ac:dyDescent="0.35">
      <c r="A48" s="6">
        <v>40</v>
      </c>
      <c r="B48" s="19" t="str">
        <f>'Data Mentah'!B45</f>
        <v>02/10/2023</v>
      </c>
      <c r="C48" s="19">
        <f>'Data Mentah'!D45</f>
        <v>122</v>
      </c>
      <c r="D48" s="20">
        <f t="shared" si="7"/>
        <v>117.53281087291026</v>
      </c>
      <c r="E48" s="20">
        <f t="shared" si="8"/>
        <v>-0.44963808496574159</v>
      </c>
      <c r="F48" s="20">
        <f t="shared" si="9"/>
        <v>114.55468478818376</v>
      </c>
      <c r="G48" s="20">
        <f t="shared" si="10"/>
        <v>7.4453152118162365</v>
      </c>
      <c r="H48" s="20">
        <f t="shared" si="11"/>
        <v>7.4453152118162365</v>
      </c>
      <c r="I48" s="21">
        <f t="shared" si="12"/>
        <v>55.432718603302249</v>
      </c>
      <c r="J48" s="21">
        <f t="shared" si="13"/>
        <v>6.1027173867346196</v>
      </c>
    </row>
    <row r="49" spans="1:10" x14ac:dyDescent="0.35">
      <c r="A49" s="6">
        <v>41</v>
      </c>
      <c r="B49" s="19" t="str">
        <f>'Data Mentah'!B46</f>
        <v>09/10/2023</v>
      </c>
      <c r="C49" s="19">
        <f>'Data Mentah'!D46</f>
        <v>121</v>
      </c>
      <c r="D49" s="20">
        <f t="shared" si="7"/>
        <v>118.64990367276671</v>
      </c>
      <c r="E49" s="20">
        <f t="shared" si="8"/>
        <v>-0.29296499648352237</v>
      </c>
      <c r="F49" s="20">
        <f t="shared" si="9"/>
        <v>117.08317278794452</v>
      </c>
      <c r="G49" s="20">
        <f t="shared" si="10"/>
        <v>3.9168272120554803</v>
      </c>
      <c r="H49" s="20">
        <f t="shared" si="11"/>
        <v>3.9168272120554803</v>
      </c>
      <c r="I49" s="21">
        <f t="shared" si="12"/>
        <v>15.341535409098308</v>
      </c>
      <c r="J49" s="21">
        <f t="shared" si="13"/>
        <v>3.2370472826904799</v>
      </c>
    </row>
    <row r="50" spans="1:10" x14ac:dyDescent="0.35">
      <c r="A50" s="6">
        <v>42</v>
      </c>
      <c r="B50" s="19" t="str">
        <f>'Data Mentah'!B47</f>
        <v>16/10/2023</v>
      </c>
      <c r="C50" s="19">
        <f>'Data Mentah'!D47</f>
        <v>122</v>
      </c>
      <c r="D50" s="20">
        <f t="shared" si="7"/>
        <v>119.81416320576992</v>
      </c>
      <c r="E50" s="20">
        <f t="shared" si="8"/>
        <v>-0.14724254353484975</v>
      </c>
      <c r="F50" s="20">
        <f t="shared" si="9"/>
        <v>118.35693867628319</v>
      </c>
      <c r="G50" s="20">
        <f t="shared" si="10"/>
        <v>3.6430613237168075</v>
      </c>
      <c r="H50" s="20">
        <f t="shared" si="11"/>
        <v>3.6430613237168075</v>
      </c>
      <c r="I50" s="21">
        <f t="shared" si="12"/>
        <v>13.271895808361258</v>
      </c>
      <c r="J50" s="21">
        <f t="shared" si="13"/>
        <v>2.9861158391121374</v>
      </c>
    </row>
    <row r="51" spans="1:10" x14ac:dyDescent="0.35">
      <c r="A51" s="6">
        <v>43</v>
      </c>
      <c r="B51" s="19" t="str">
        <f>'Data Mentah'!B48</f>
        <v>23/10/2023</v>
      </c>
      <c r="C51" s="19">
        <f>'Data Mentah'!D48</f>
        <v>119</v>
      </c>
      <c r="D51" s="20">
        <f t="shared" si="7"/>
        <v>119.40015239734103</v>
      </c>
      <c r="E51" s="20">
        <f t="shared" si="8"/>
        <v>-0.17391937002425317</v>
      </c>
      <c r="F51" s="20">
        <f t="shared" si="9"/>
        <v>119.66692066223507</v>
      </c>
      <c r="G51" s="20">
        <f t="shared" si="10"/>
        <v>-0.6669206622350714</v>
      </c>
      <c r="H51" s="20">
        <f t="shared" si="11"/>
        <v>0.6669206622350714</v>
      </c>
      <c r="I51" s="21">
        <f t="shared" si="12"/>
        <v>0.44478316971606618</v>
      </c>
      <c r="J51" s="21">
        <f t="shared" si="13"/>
        <v>0.56043753128997598</v>
      </c>
    </row>
    <row r="52" spans="1:10" x14ac:dyDescent="0.35">
      <c r="A52" s="6">
        <v>44</v>
      </c>
      <c r="B52" s="19" t="str">
        <f>'Data Mentah'!B49</f>
        <v>30/10/2023</v>
      </c>
      <c r="C52" s="19">
        <f>'Data Mentah'!D49</f>
        <v>111</v>
      </c>
      <c r="D52" s="20">
        <f t="shared" si="7"/>
        <v>115.93573981639007</v>
      </c>
      <c r="E52" s="20">
        <f t="shared" si="8"/>
        <v>-0.50296869111692422</v>
      </c>
      <c r="F52" s="20">
        <f t="shared" si="9"/>
        <v>119.22623302731678</v>
      </c>
      <c r="G52" s="20">
        <f t="shared" si="10"/>
        <v>-8.2262330273167805</v>
      </c>
      <c r="H52" s="20">
        <f t="shared" si="11"/>
        <v>8.2262330273167805</v>
      </c>
      <c r="I52" s="21">
        <f t="shared" si="12"/>
        <v>67.670909819717409</v>
      </c>
      <c r="J52" s="21">
        <f t="shared" si="13"/>
        <v>7.4110207453304335</v>
      </c>
    </row>
    <row r="53" spans="1:10" x14ac:dyDescent="0.35">
      <c r="A53" s="6">
        <v>45</v>
      </c>
      <c r="B53" s="19" t="str">
        <f>'Data Mentah'!B50</f>
        <v>06/11/2023</v>
      </c>
      <c r="C53" s="19">
        <f>'Data Mentah'!D50</f>
        <v>120</v>
      </c>
      <c r="D53" s="20">
        <f t="shared" si="7"/>
        <v>117.25966267516388</v>
      </c>
      <c r="E53" s="20">
        <f t="shared" si="8"/>
        <v>-0.32027953612785054</v>
      </c>
      <c r="F53" s="20">
        <f t="shared" si="9"/>
        <v>115.43277112527315</v>
      </c>
      <c r="G53" s="20">
        <f t="shared" si="10"/>
        <v>4.567228874726851</v>
      </c>
      <c r="H53" s="20">
        <f t="shared" si="11"/>
        <v>4.567228874726851</v>
      </c>
      <c r="I53" s="21">
        <f t="shared" si="12"/>
        <v>20.859579594138697</v>
      </c>
      <c r="J53" s="21">
        <f t="shared" si="13"/>
        <v>3.8060240622723756</v>
      </c>
    </row>
    <row r="54" spans="1:10" x14ac:dyDescent="0.35">
      <c r="A54" s="6">
        <v>46</v>
      </c>
      <c r="B54" s="19" t="str">
        <f>'Data Mentah'!B51</f>
        <v>13/11/2023</v>
      </c>
      <c r="C54" s="19">
        <f>'Data Mentah'!D51</f>
        <v>109</v>
      </c>
      <c r="D54" s="20">
        <f t="shared" si="7"/>
        <v>113.7636298834216</v>
      </c>
      <c r="E54" s="20">
        <f t="shared" si="8"/>
        <v>-0.63785486168929362</v>
      </c>
      <c r="F54" s="20">
        <f t="shared" si="9"/>
        <v>116.93938313903602</v>
      </c>
      <c r="G54" s="20">
        <f t="shared" si="10"/>
        <v>-7.9393831390360248</v>
      </c>
      <c r="H54" s="20">
        <f t="shared" si="11"/>
        <v>7.9393831390360248</v>
      </c>
      <c r="I54" s="21">
        <f t="shared" si="12"/>
        <v>63.03380462840952</v>
      </c>
      <c r="J54" s="21">
        <f t="shared" si="13"/>
        <v>7.2838377422348843</v>
      </c>
    </row>
    <row r="55" spans="1:10" x14ac:dyDescent="0.35">
      <c r="A55" s="6">
        <v>47</v>
      </c>
      <c r="B55" s="19" t="str">
        <f>'Data Mentah'!B52</f>
        <v>20/11/2023</v>
      </c>
      <c r="C55" s="19">
        <f>'Data Mentah'!D52</f>
        <v>106</v>
      </c>
      <c r="D55" s="20">
        <f t="shared" si="7"/>
        <v>110.27546501303939</v>
      </c>
      <c r="E55" s="20">
        <f t="shared" si="8"/>
        <v>-0.92288586255858496</v>
      </c>
      <c r="F55" s="20">
        <f t="shared" si="9"/>
        <v>113.12577502173231</v>
      </c>
      <c r="G55" s="20">
        <f t="shared" si="10"/>
        <v>-7.1257750217323093</v>
      </c>
      <c r="H55" s="20">
        <f t="shared" si="11"/>
        <v>7.1257750217323093</v>
      </c>
      <c r="I55" s="21">
        <f t="shared" si="12"/>
        <v>50.776669660344091</v>
      </c>
      <c r="J55" s="21">
        <f t="shared" si="13"/>
        <v>6.7224292657851974</v>
      </c>
    </row>
    <row r="56" spans="1:10" x14ac:dyDescent="0.35">
      <c r="A56" s="6">
        <v>48</v>
      </c>
      <c r="B56" s="19" t="str">
        <f>'Data Mentah'!B53</f>
        <v>27/11/2023</v>
      </c>
      <c r="C56" s="19">
        <f>'Data Mentah'!D53</f>
        <v>104</v>
      </c>
      <c r="D56" s="20">
        <f t="shared" si="7"/>
        <v>107.2115474902885</v>
      </c>
      <c r="E56" s="20">
        <f t="shared" si="8"/>
        <v>-1.1369890285778164</v>
      </c>
      <c r="F56" s="20">
        <f t="shared" si="9"/>
        <v>109.35257915048081</v>
      </c>
      <c r="G56" s="20">
        <f t="shared" si="10"/>
        <v>-5.3525791504808069</v>
      </c>
      <c r="H56" s="20">
        <f t="shared" si="11"/>
        <v>5.3525791504808069</v>
      </c>
      <c r="I56" s="21">
        <f t="shared" si="12"/>
        <v>28.650103562161835</v>
      </c>
      <c r="J56" s="21">
        <f t="shared" si="13"/>
        <v>5.1467107216161612</v>
      </c>
    </row>
    <row r="57" spans="1:10" x14ac:dyDescent="0.35">
      <c r="A57" s="6">
        <v>49</v>
      </c>
      <c r="B57" s="19" t="str">
        <f>'Data Mentah'!B54</f>
        <v>04/12/2023</v>
      </c>
      <c r="C57" s="19">
        <f>'Data Mentah'!D54</f>
        <v>93</v>
      </c>
      <c r="D57" s="20">
        <f t="shared" si="7"/>
        <v>100.8447350770264</v>
      </c>
      <c r="E57" s="20">
        <f t="shared" si="8"/>
        <v>-1.6599713670462446</v>
      </c>
      <c r="F57" s="20">
        <f t="shared" si="9"/>
        <v>106.07455846171068</v>
      </c>
      <c r="G57" s="20">
        <f t="shared" si="10"/>
        <v>-13.07455846171068</v>
      </c>
      <c r="H57" s="20">
        <f t="shared" si="11"/>
        <v>13.07455846171068</v>
      </c>
      <c r="I57" s="21">
        <f t="shared" si="12"/>
        <v>170.94407896869035</v>
      </c>
      <c r="J57" s="21">
        <f t="shared" si="13"/>
        <v>14.058665012592128</v>
      </c>
    </row>
    <row r="58" spans="1:10" x14ac:dyDescent="0.35">
      <c r="A58" s="6">
        <v>50</v>
      </c>
      <c r="B58" s="19" t="str">
        <f>'Data Mentah'!B55</f>
        <v>11/12/2023</v>
      </c>
      <c r="C58" s="19">
        <f>'Data Mentah'!D55</f>
        <v>105</v>
      </c>
      <c r="D58" s="20">
        <f t="shared" si="7"/>
        <v>101.5108582259881</v>
      </c>
      <c r="E58" s="20">
        <f t="shared" si="8"/>
        <v>-1.42736191544545</v>
      </c>
      <c r="F58" s="20">
        <f t="shared" si="9"/>
        <v>99.18476370998016</v>
      </c>
      <c r="G58" s="20">
        <f t="shared" si="10"/>
        <v>5.8152362900198398</v>
      </c>
      <c r="H58" s="20">
        <f t="shared" si="11"/>
        <v>5.8152362900198398</v>
      </c>
      <c r="I58" s="21">
        <f t="shared" si="12"/>
        <v>33.816973108763712</v>
      </c>
      <c r="J58" s="21">
        <f t="shared" si="13"/>
        <v>5.5383202762093715</v>
      </c>
    </row>
    <row r="59" spans="1:10" x14ac:dyDescent="0.35">
      <c r="A59" s="6">
        <v>51</v>
      </c>
      <c r="B59" s="19" t="str">
        <f>'Data Mentah'!B56</f>
        <v>18/12/2023</v>
      </c>
      <c r="C59" s="19">
        <f>'Data Mentah'!D56</f>
        <v>113</v>
      </c>
      <c r="D59" s="20">
        <f t="shared" si="7"/>
        <v>105.2500977863256</v>
      </c>
      <c r="E59" s="20">
        <f t="shared" si="8"/>
        <v>-0.91070176786715562</v>
      </c>
      <c r="F59" s="20">
        <f t="shared" si="9"/>
        <v>100.08349631054266</v>
      </c>
      <c r="G59" s="20">
        <f t="shared" si="10"/>
        <v>12.916503689457343</v>
      </c>
      <c r="H59" s="20">
        <f t="shared" si="11"/>
        <v>12.916503689457343</v>
      </c>
      <c r="I59" s="21">
        <f t="shared" si="12"/>
        <v>166.83606755976516</v>
      </c>
      <c r="J59" s="21">
        <f t="shared" si="13"/>
        <v>11.430534238457826</v>
      </c>
    </row>
    <row r="60" spans="1:10" x14ac:dyDescent="0.35">
      <c r="A60" s="6">
        <v>52</v>
      </c>
      <c r="B60" s="19" t="str">
        <f>'Data Mentah'!B57</f>
        <v>25/12/2023</v>
      </c>
      <c r="C60" s="19">
        <f>'Data Mentah'!D57</f>
        <v>104</v>
      </c>
      <c r="D60" s="20">
        <f t="shared" si="7"/>
        <v>104.20363761107507</v>
      </c>
      <c r="E60" s="20">
        <f t="shared" si="8"/>
        <v>-0.92427760860549313</v>
      </c>
      <c r="F60" s="20">
        <f t="shared" si="9"/>
        <v>104.33939601845844</v>
      </c>
      <c r="G60" s="20">
        <f t="shared" si="10"/>
        <v>-0.33939601845844436</v>
      </c>
      <c r="H60" s="20">
        <f t="shared" si="11"/>
        <v>0.33939601845844436</v>
      </c>
      <c r="I60" s="21">
        <f t="shared" si="12"/>
        <v>0.1151896573454447</v>
      </c>
      <c r="J60" s="21">
        <f t="shared" si="13"/>
        <v>0.32634232544081188</v>
      </c>
    </row>
    <row r="61" spans="1:10" x14ac:dyDescent="0.35">
      <c r="A61" s="6">
        <v>53</v>
      </c>
      <c r="B61" s="19" t="str">
        <f>'Data Mentah'!B58</f>
        <v>01/01/2024</v>
      </c>
      <c r="C61" s="19">
        <f>'Data Mentah'!D58</f>
        <v>106</v>
      </c>
      <c r="D61" s="20">
        <f t="shared" si="7"/>
        <v>104.36761600148175</v>
      </c>
      <c r="E61" s="20">
        <f t="shared" si="8"/>
        <v>-0.81545200870427559</v>
      </c>
      <c r="F61" s="20">
        <f t="shared" si="9"/>
        <v>103.27936000246957</v>
      </c>
      <c r="G61" s="20">
        <f t="shared" si="10"/>
        <v>2.7206399975304265</v>
      </c>
      <c r="H61" s="20">
        <f t="shared" si="11"/>
        <v>2.7206399975304265</v>
      </c>
      <c r="I61" s="21">
        <f t="shared" si="12"/>
        <v>7.4018819961623592</v>
      </c>
      <c r="J61" s="21">
        <f t="shared" si="13"/>
        <v>2.5666415071041762</v>
      </c>
    </row>
    <row r="62" spans="1:10" x14ac:dyDescent="0.35">
      <c r="A62" s="6">
        <v>54</v>
      </c>
      <c r="B62" s="19" t="str">
        <f>'Data Mentah'!B59</f>
        <v>08/01/2024</v>
      </c>
      <c r="C62" s="19">
        <f>'Data Mentah'!D59</f>
        <v>105</v>
      </c>
      <c r="D62" s="20">
        <f t="shared" si="7"/>
        <v>104.13129839566648</v>
      </c>
      <c r="E62" s="20">
        <f t="shared" si="8"/>
        <v>-0.75753856841537537</v>
      </c>
      <c r="F62" s="20">
        <f t="shared" si="9"/>
        <v>103.55216399277748</v>
      </c>
      <c r="G62" s="20">
        <f t="shared" si="10"/>
        <v>1.44783600722252</v>
      </c>
      <c r="H62" s="20">
        <f t="shared" si="11"/>
        <v>1.44783600722252</v>
      </c>
      <c r="I62" s="21">
        <f t="shared" si="12"/>
        <v>2.0962291038100491</v>
      </c>
      <c r="J62" s="21">
        <f t="shared" si="13"/>
        <v>1.378891435450019</v>
      </c>
    </row>
    <row r="63" spans="1:10" x14ac:dyDescent="0.35">
      <c r="A63" s="6">
        <v>55</v>
      </c>
      <c r="B63" s="19" t="str">
        <f>'Data Mentah'!B60</f>
        <v>15/01/2024</v>
      </c>
      <c r="C63" s="19">
        <f>'Data Mentah'!D60</f>
        <v>101</v>
      </c>
      <c r="D63" s="20">
        <f t="shared" si="7"/>
        <v>102.42425589635067</v>
      </c>
      <c r="E63" s="20">
        <f t="shared" si="8"/>
        <v>-0.8524889615054182</v>
      </c>
      <c r="F63" s="20">
        <f t="shared" si="9"/>
        <v>103.37375982725111</v>
      </c>
      <c r="G63" s="20">
        <f t="shared" si="10"/>
        <v>-2.3737598272511065</v>
      </c>
      <c r="H63" s="20">
        <f t="shared" si="11"/>
        <v>2.3737598272511065</v>
      </c>
      <c r="I63" s="21">
        <f t="shared" si="12"/>
        <v>5.6347357174712025</v>
      </c>
      <c r="J63" s="21">
        <f t="shared" si="13"/>
        <v>2.3502572547040659</v>
      </c>
    </row>
    <row r="64" spans="1:10" x14ac:dyDescent="0.35">
      <c r="A64" s="6">
        <v>56</v>
      </c>
      <c r="B64" s="19" t="str">
        <f>'Data Mentah'!B61</f>
        <v>22/01/2024</v>
      </c>
      <c r="C64" s="19">
        <f>'Data Mentah'!D61</f>
        <v>113</v>
      </c>
      <c r="D64" s="20">
        <f t="shared" si="7"/>
        <v>106.14306016090715</v>
      </c>
      <c r="E64" s="20">
        <f t="shared" si="8"/>
        <v>-0.39535963889922821</v>
      </c>
      <c r="F64" s="20">
        <f t="shared" si="9"/>
        <v>101.57176693484526</v>
      </c>
      <c r="G64" s="20">
        <f t="shared" si="10"/>
        <v>11.428233065154743</v>
      </c>
      <c r="H64" s="20">
        <f t="shared" si="11"/>
        <v>11.428233065154743</v>
      </c>
      <c r="I64" s="21">
        <f t="shared" si="12"/>
        <v>130.60451099149617</v>
      </c>
      <c r="J64" s="21">
        <f t="shared" si="13"/>
        <v>10.113480588632516</v>
      </c>
    </row>
    <row r="65" spans="1:10" x14ac:dyDescent="0.35">
      <c r="A65" s="6">
        <v>57</v>
      </c>
      <c r="B65" s="19" t="str">
        <f>'Data Mentah'!B62</f>
        <v>29/01/2024</v>
      </c>
      <c r="C65" s="19">
        <f>'Data Mentah'!D62</f>
        <v>116</v>
      </c>
      <c r="D65" s="20">
        <f t="shared" si="7"/>
        <v>109.84862031320476</v>
      </c>
      <c r="E65" s="20">
        <f t="shared" si="8"/>
        <v>1.4732340220455387E-2</v>
      </c>
      <c r="F65" s="20">
        <f t="shared" si="9"/>
        <v>105.74770052200793</v>
      </c>
      <c r="G65" s="20">
        <f t="shared" si="10"/>
        <v>10.252299477992068</v>
      </c>
      <c r="H65" s="20">
        <f t="shared" si="11"/>
        <v>10.252299477992068</v>
      </c>
      <c r="I65" s="21">
        <f t="shared" si="12"/>
        <v>105.10964458643643</v>
      </c>
      <c r="J65" s="21">
        <f t="shared" si="13"/>
        <v>8.838189205165575</v>
      </c>
    </row>
    <row r="66" spans="1:10" x14ac:dyDescent="0.35">
      <c r="A66" s="6">
        <v>58</v>
      </c>
      <c r="B66" s="19" t="str">
        <f>'Data Mentah'!B63</f>
        <v>05/02/2024</v>
      </c>
      <c r="C66" s="19">
        <f>'Data Mentah'!D63</f>
        <v>116</v>
      </c>
      <c r="D66" s="20">
        <f t="shared" si="7"/>
        <v>112.31801159205514</v>
      </c>
      <c r="E66" s="20">
        <f t="shared" si="8"/>
        <v>0.26019823408344794</v>
      </c>
      <c r="F66" s="20">
        <f t="shared" si="9"/>
        <v>109.86335265342522</v>
      </c>
      <c r="G66" s="20">
        <f t="shared" si="10"/>
        <v>6.136647346574776</v>
      </c>
      <c r="H66" s="20">
        <f t="shared" si="11"/>
        <v>6.136647346574776</v>
      </c>
      <c r="I66" s="21">
        <f t="shared" si="12"/>
        <v>37.658440656223242</v>
      </c>
      <c r="J66" s="21">
        <f t="shared" si="13"/>
        <v>5.2902132298058415</v>
      </c>
    </row>
    <row r="67" spans="1:10" x14ac:dyDescent="0.35">
      <c r="A67" s="6">
        <v>59</v>
      </c>
      <c r="B67" s="19" t="str">
        <f>'Data Mentah'!B64</f>
        <v>12/02/2024</v>
      </c>
      <c r="C67" s="19">
        <f>'Data Mentah'!D64</f>
        <v>109</v>
      </c>
      <c r="D67" s="20">
        <f t="shared" si="7"/>
        <v>111.14692589568315</v>
      </c>
      <c r="E67" s="20">
        <f t="shared" si="8"/>
        <v>0.11706984103790423</v>
      </c>
      <c r="F67" s="20">
        <f t="shared" si="9"/>
        <v>112.57820982613859</v>
      </c>
      <c r="G67" s="20">
        <f t="shared" si="10"/>
        <v>-3.5782098261385897</v>
      </c>
      <c r="H67" s="20">
        <f t="shared" si="11"/>
        <v>3.5782098261385897</v>
      </c>
      <c r="I67" s="21">
        <f t="shared" si="12"/>
        <v>12.803585559874756</v>
      </c>
      <c r="J67" s="21">
        <f t="shared" si="13"/>
        <v>3.2827613083840275</v>
      </c>
    </row>
    <row r="68" spans="1:10" x14ac:dyDescent="0.35">
      <c r="A68" s="6">
        <v>60</v>
      </c>
      <c r="B68" s="19" t="str">
        <f>'Data Mentah'!B65</f>
        <v>19/02/2024</v>
      </c>
      <c r="C68" s="19">
        <f>'Data Mentah'!D65</f>
        <v>108</v>
      </c>
      <c r="D68" s="20">
        <f t="shared" si="7"/>
        <v>109.95839744203263</v>
      </c>
      <c r="E68" s="20">
        <f t="shared" si="8"/>
        <v>-1.3489988430938168E-2</v>
      </c>
      <c r="F68" s="20">
        <f t="shared" si="9"/>
        <v>111.26399573672106</v>
      </c>
      <c r="G68" s="20">
        <f t="shared" si="10"/>
        <v>-3.263995736721057</v>
      </c>
      <c r="H68" s="20">
        <f t="shared" si="11"/>
        <v>3.263995736721057</v>
      </c>
      <c r="I68" s="21">
        <f t="shared" si="12"/>
        <v>10.653668169333235</v>
      </c>
      <c r="J68" s="21">
        <f t="shared" si="13"/>
        <v>3.0222182747417192</v>
      </c>
    </row>
    <row r="69" spans="1:10" x14ac:dyDescent="0.35">
      <c r="A69" s="6">
        <v>61</v>
      </c>
      <c r="B69" s="19" t="str">
        <f>'Data Mentah'!B66</f>
        <v>26/02/2024</v>
      </c>
      <c r="C69" s="19">
        <f>'Data Mentah'!D66</f>
        <v>103</v>
      </c>
      <c r="D69" s="20">
        <f t="shared" si="7"/>
        <v>107.16694447216102</v>
      </c>
      <c r="E69" s="20">
        <f t="shared" si="8"/>
        <v>-0.29128628657500577</v>
      </c>
      <c r="F69" s="20">
        <f t="shared" si="9"/>
        <v>109.9449074536017</v>
      </c>
      <c r="G69" s="20">
        <f t="shared" si="10"/>
        <v>-6.9449074536017008</v>
      </c>
      <c r="H69" s="20">
        <f t="shared" si="11"/>
        <v>6.9449074536017008</v>
      </c>
      <c r="I69" s="21">
        <f t="shared" si="12"/>
        <v>48.231739539092459</v>
      </c>
      <c r="J69" s="21">
        <f t="shared" si="13"/>
        <v>6.7426285957298067</v>
      </c>
    </row>
    <row r="70" spans="1:10" x14ac:dyDescent="0.35">
      <c r="A70" s="6">
        <v>62</v>
      </c>
      <c r="B70" s="19" t="str">
        <f>'Data Mentah'!B67</f>
        <v>04/03/2024</v>
      </c>
      <c r="C70" s="19">
        <f>'Data Mentah'!D67</f>
        <v>97</v>
      </c>
      <c r="D70" s="20">
        <f t="shared" si="7"/>
        <v>102.92539491135162</v>
      </c>
      <c r="E70" s="20">
        <f t="shared" si="8"/>
        <v>-0.68631261399844556</v>
      </c>
      <c r="F70" s="20">
        <f t="shared" si="9"/>
        <v>106.87565818558602</v>
      </c>
      <c r="G70" s="20">
        <f t="shared" si="10"/>
        <v>-9.875658185586019</v>
      </c>
      <c r="H70" s="20">
        <f t="shared" si="11"/>
        <v>9.875658185586019</v>
      </c>
      <c r="I70" s="21">
        <f t="shared" si="12"/>
        <v>97.528624598532147</v>
      </c>
      <c r="J70" s="21">
        <f t="shared" si="13"/>
        <v>10.181090912975277</v>
      </c>
    </row>
    <row r="71" spans="1:10" x14ac:dyDescent="0.35">
      <c r="A71" s="6">
        <v>63</v>
      </c>
      <c r="B71" s="19" t="str">
        <f>'Data Mentah'!B68</f>
        <v>11/03/2024</v>
      </c>
      <c r="C71" s="19">
        <f>'Data Mentah'!D68</f>
        <v>106</v>
      </c>
      <c r="D71" s="20">
        <f t="shared" si="7"/>
        <v>103.74344937841191</v>
      </c>
      <c r="E71" s="20">
        <f t="shared" si="8"/>
        <v>-0.53587590589257172</v>
      </c>
      <c r="F71" s="20">
        <f t="shared" si="9"/>
        <v>102.23908229735318</v>
      </c>
      <c r="G71" s="20">
        <f t="shared" si="10"/>
        <v>3.7609177026468217</v>
      </c>
      <c r="H71" s="20">
        <f t="shared" si="11"/>
        <v>3.7609177026468217</v>
      </c>
      <c r="I71" s="21">
        <f t="shared" si="12"/>
        <v>14.144501966082247</v>
      </c>
      <c r="J71" s="21">
        <f t="shared" si="13"/>
        <v>3.5480355685347376</v>
      </c>
    </row>
    <row r="72" spans="1:10" x14ac:dyDescent="0.35">
      <c r="A72" s="6">
        <v>64</v>
      </c>
      <c r="B72" s="19" t="str">
        <f>'Data Mentah'!B69</f>
        <v>18/03/2024</v>
      </c>
      <c r="C72" s="19">
        <f>'Data Mentah'!D69</f>
        <v>106</v>
      </c>
      <c r="D72" s="20">
        <f t="shared" si="7"/>
        <v>104.32454408351161</v>
      </c>
      <c r="E72" s="20">
        <f t="shared" si="8"/>
        <v>-0.42417884479334439</v>
      </c>
      <c r="F72" s="20">
        <f t="shared" si="9"/>
        <v>103.20757347251934</v>
      </c>
      <c r="G72" s="20">
        <f t="shared" si="10"/>
        <v>2.7924265274806572</v>
      </c>
      <c r="H72" s="20">
        <f t="shared" si="11"/>
        <v>2.7924265274806572</v>
      </c>
      <c r="I72" s="21">
        <f t="shared" si="12"/>
        <v>7.7976459113776819</v>
      </c>
      <c r="J72" s="21">
        <f t="shared" si="13"/>
        <v>2.6343646485666579</v>
      </c>
    </row>
    <row r="73" spans="1:10" x14ac:dyDescent="0.35">
      <c r="A73" s="6">
        <v>65</v>
      </c>
      <c r="B73" s="19" t="str">
        <f>'Data Mentah'!B70</f>
        <v>25/03/2024</v>
      </c>
      <c r="C73" s="19">
        <f>'Data Mentah'!D70</f>
        <v>108</v>
      </c>
      <c r="D73" s="20">
        <f t="shared" ref="D73:D104" si="14">$E$4*C73+(1-$E$4)*(D72+E72)</f>
        <v>105.54021914323096</v>
      </c>
      <c r="E73" s="20">
        <f t="shared" ref="E73:E104" si="15">$H$4*(D73-D72)+(1-$H$4)*E72</f>
        <v>-0.26019345434207547</v>
      </c>
      <c r="F73" s="20">
        <f t="shared" ref="F73:F104" si="16">D72+E72</f>
        <v>103.90036523871827</v>
      </c>
      <c r="G73" s="20">
        <f t="shared" ref="G73:G104" si="17">C73-F73</f>
        <v>4.0996347612817345</v>
      </c>
      <c r="H73" s="20">
        <f t="shared" ref="H73:H104" si="18">ABS(G73)</f>
        <v>4.0996347612817345</v>
      </c>
      <c r="I73" s="21">
        <f t="shared" ref="I73:I104" si="19">G73^2</f>
        <v>16.807005175909545</v>
      </c>
      <c r="J73" s="21">
        <f t="shared" ref="J73:J104" si="20">ABS(G73/C73)*100</f>
        <v>3.7959581122979023</v>
      </c>
    </row>
    <row r="74" spans="1:10" x14ac:dyDescent="0.35">
      <c r="A74" s="6">
        <v>66</v>
      </c>
      <c r="B74" s="19" t="str">
        <f>'Data Mentah'!B71</f>
        <v>01/04/2024</v>
      </c>
      <c r="C74" s="19">
        <f>'Data Mentah'!D71</f>
        <v>107</v>
      </c>
      <c r="D74" s="20">
        <f t="shared" si="14"/>
        <v>105.96801541333333</v>
      </c>
      <c r="E74" s="20">
        <f t="shared" si="15"/>
        <v>-0.19139448189763025</v>
      </c>
      <c r="F74" s="20">
        <f t="shared" si="16"/>
        <v>105.28002568888888</v>
      </c>
      <c r="G74" s="20">
        <f t="shared" si="17"/>
        <v>1.7199743111111161</v>
      </c>
      <c r="H74" s="20">
        <f t="shared" si="18"/>
        <v>1.7199743111111161</v>
      </c>
      <c r="I74" s="21">
        <f t="shared" si="19"/>
        <v>2.9583116308821582</v>
      </c>
      <c r="J74" s="21">
        <f t="shared" si="20"/>
        <v>1.6074526272066507</v>
      </c>
    </row>
    <row r="75" spans="1:10" x14ac:dyDescent="0.35">
      <c r="A75" s="6">
        <v>67</v>
      </c>
      <c r="B75" s="19" t="str">
        <f>'Data Mentah'!B72</f>
        <v>08/04/2024</v>
      </c>
      <c r="C75" s="19">
        <f>'Data Mentah'!D72</f>
        <v>107</v>
      </c>
      <c r="D75" s="20">
        <f t="shared" si="14"/>
        <v>106.26597255886142</v>
      </c>
      <c r="E75" s="20">
        <f t="shared" si="15"/>
        <v>-0.14245931915505847</v>
      </c>
      <c r="F75" s="20">
        <f t="shared" si="16"/>
        <v>105.7766209314357</v>
      </c>
      <c r="G75" s="20">
        <f t="shared" si="17"/>
        <v>1.2233790685642987</v>
      </c>
      <c r="H75" s="20">
        <f t="shared" si="18"/>
        <v>1.2233790685642987</v>
      </c>
      <c r="I75" s="21">
        <f t="shared" si="19"/>
        <v>1.4966563454012509</v>
      </c>
      <c r="J75" s="21">
        <f t="shared" si="20"/>
        <v>1.143344923891868</v>
      </c>
    </row>
    <row r="76" spans="1:10" x14ac:dyDescent="0.35">
      <c r="A76" s="6">
        <v>68</v>
      </c>
      <c r="B76" s="19" t="str">
        <f>'Data Mentah'!B73</f>
        <v>15/04/2024</v>
      </c>
      <c r="C76" s="19">
        <f>'Data Mentah'!D73</f>
        <v>108</v>
      </c>
      <c r="D76" s="20">
        <f t="shared" si="14"/>
        <v>106.87410794382382</v>
      </c>
      <c r="E76" s="20">
        <f t="shared" si="15"/>
        <v>-6.739984874331309E-2</v>
      </c>
      <c r="F76" s="20">
        <f t="shared" si="16"/>
        <v>106.12351323970637</v>
      </c>
      <c r="G76" s="20">
        <f t="shared" si="17"/>
        <v>1.8764867602936306</v>
      </c>
      <c r="H76" s="20">
        <f t="shared" si="18"/>
        <v>1.8764867602936306</v>
      </c>
      <c r="I76" s="21">
        <f t="shared" si="19"/>
        <v>3.5212025615572853</v>
      </c>
      <c r="J76" s="21">
        <f t="shared" si="20"/>
        <v>1.7374877410126208</v>
      </c>
    </row>
    <row r="77" spans="1:10" x14ac:dyDescent="0.35">
      <c r="A77" s="6">
        <v>69</v>
      </c>
      <c r="B77" s="19" t="str">
        <f>'Data Mentah'!B74</f>
        <v>22/04/2024</v>
      </c>
      <c r="C77" s="19">
        <f>'Data Mentah'!D74</f>
        <v>109</v>
      </c>
      <c r="D77" s="20">
        <f t="shared" si="14"/>
        <v>107.68402485704831</v>
      </c>
      <c r="E77" s="20">
        <f t="shared" si="15"/>
        <v>2.0331827453468038E-2</v>
      </c>
      <c r="F77" s="20">
        <f t="shared" si="16"/>
        <v>106.80670809508051</v>
      </c>
      <c r="G77" s="20">
        <f t="shared" si="17"/>
        <v>2.1932919049194908</v>
      </c>
      <c r="H77" s="20">
        <f t="shared" si="18"/>
        <v>2.1932919049194908</v>
      </c>
      <c r="I77" s="21">
        <f t="shared" si="19"/>
        <v>4.8105293801853684</v>
      </c>
      <c r="J77" s="21">
        <f t="shared" si="20"/>
        <v>2.012194408183019</v>
      </c>
    </row>
    <row r="78" spans="1:10" x14ac:dyDescent="0.35">
      <c r="A78" s="6">
        <v>70</v>
      </c>
      <c r="B78" s="19" t="str">
        <f>'Data Mentah'!B75</f>
        <v>29/04/2024</v>
      </c>
      <c r="C78" s="19">
        <f>'Data Mentah'!D75</f>
        <v>115</v>
      </c>
      <c r="D78" s="20">
        <f t="shared" si="14"/>
        <v>110.62261401070106</v>
      </c>
      <c r="E78" s="20">
        <f t="shared" si="15"/>
        <v>0.31215756007339551</v>
      </c>
      <c r="F78" s="20">
        <f t="shared" si="16"/>
        <v>107.70435668450178</v>
      </c>
      <c r="G78" s="20">
        <f t="shared" si="17"/>
        <v>7.295643315498225</v>
      </c>
      <c r="H78" s="20">
        <f t="shared" si="18"/>
        <v>7.295643315498225</v>
      </c>
      <c r="I78" s="21">
        <f t="shared" si="19"/>
        <v>53.226411386973936</v>
      </c>
      <c r="J78" s="21">
        <f t="shared" si="20"/>
        <v>6.3440376656506299</v>
      </c>
    </row>
    <row r="79" spans="1:10" x14ac:dyDescent="0.35">
      <c r="A79" s="6">
        <v>71</v>
      </c>
      <c r="B79" s="19" t="str">
        <f>'Data Mentah'!B76</f>
        <v>06/05/2024</v>
      </c>
      <c r="C79" s="19">
        <f>'Data Mentah'!D76</f>
        <v>113</v>
      </c>
      <c r="D79" s="20">
        <f t="shared" si="14"/>
        <v>111.76086294246467</v>
      </c>
      <c r="E79" s="20">
        <f t="shared" si="15"/>
        <v>0.39476669724241725</v>
      </c>
      <c r="F79" s="20">
        <f t="shared" si="16"/>
        <v>110.93477157077446</v>
      </c>
      <c r="G79" s="20">
        <f t="shared" si="17"/>
        <v>2.0652284292255416</v>
      </c>
      <c r="H79" s="20">
        <f t="shared" si="18"/>
        <v>2.0652284292255416</v>
      </c>
      <c r="I79" s="21">
        <f t="shared" si="19"/>
        <v>4.2651684648813983</v>
      </c>
      <c r="J79" s="21">
        <f t="shared" si="20"/>
        <v>1.8276357780757004</v>
      </c>
    </row>
    <row r="80" spans="1:10" x14ac:dyDescent="0.35">
      <c r="A80" s="6">
        <v>72</v>
      </c>
      <c r="B80" s="19" t="str">
        <f>'Data Mentah'!B77</f>
        <v>13/05/2024</v>
      </c>
      <c r="C80" s="19">
        <f>'Data Mentah'!D77</f>
        <v>117</v>
      </c>
      <c r="D80" s="20">
        <f t="shared" si="14"/>
        <v>114.09337778382425</v>
      </c>
      <c r="E80" s="20">
        <f t="shared" si="15"/>
        <v>0.58854151165413382</v>
      </c>
      <c r="F80" s="20">
        <f t="shared" si="16"/>
        <v>112.15562963970709</v>
      </c>
      <c r="G80" s="20">
        <f t="shared" si="17"/>
        <v>4.8443703602929133</v>
      </c>
      <c r="H80" s="20">
        <f t="shared" si="18"/>
        <v>4.8443703602929133</v>
      </c>
      <c r="I80" s="21">
        <f t="shared" si="19"/>
        <v>23.467924187684492</v>
      </c>
      <c r="J80" s="21">
        <f t="shared" si="20"/>
        <v>4.1404874874298407</v>
      </c>
    </row>
    <row r="81" spans="1:10" x14ac:dyDescent="0.35">
      <c r="A81" s="6">
        <v>73</v>
      </c>
      <c r="B81" s="19" t="str">
        <f>'Data Mentah'!B78</f>
        <v>20/05/2024</v>
      </c>
      <c r="C81" s="19">
        <f>'Data Mentah'!D78</f>
        <v>126</v>
      </c>
      <c r="D81" s="20">
        <f t="shared" si="14"/>
        <v>119.20915157728703</v>
      </c>
      <c r="E81" s="20">
        <f t="shared" si="15"/>
        <v>1.0412647398349983</v>
      </c>
      <c r="F81" s="20">
        <f t="shared" si="16"/>
        <v>114.68191929547838</v>
      </c>
      <c r="G81" s="20">
        <f t="shared" si="17"/>
        <v>11.31808070452162</v>
      </c>
      <c r="H81" s="20">
        <f t="shared" si="18"/>
        <v>11.31808070452162</v>
      </c>
      <c r="I81" s="21">
        <f t="shared" si="19"/>
        <v>128.0989508340646</v>
      </c>
      <c r="J81" s="21">
        <f t="shared" si="20"/>
        <v>8.9826037337473164</v>
      </c>
    </row>
    <row r="82" spans="1:10" x14ac:dyDescent="0.35">
      <c r="A82" s="6">
        <v>74</v>
      </c>
      <c r="B82" s="19" t="str">
        <f>'Data Mentah'!B79</f>
        <v>27/05/2024</v>
      </c>
      <c r="C82" s="19">
        <f>'Data Mentah'!D79</f>
        <v>130</v>
      </c>
      <c r="D82" s="20">
        <f t="shared" si="14"/>
        <v>124.15024979027322</v>
      </c>
      <c r="E82" s="20">
        <f t="shared" si="15"/>
        <v>1.4312480871501176</v>
      </c>
      <c r="F82" s="20">
        <f t="shared" si="16"/>
        <v>120.25041631712203</v>
      </c>
      <c r="G82" s="20">
        <f t="shared" si="17"/>
        <v>9.7495836828779687</v>
      </c>
      <c r="H82" s="20">
        <f t="shared" si="18"/>
        <v>9.7495836828779687</v>
      </c>
      <c r="I82" s="21">
        <f t="shared" si="19"/>
        <v>95.05438198944033</v>
      </c>
      <c r="J82" s="21">
        <f t="shared" si="20"/>
        <v>7.4996797560599768</v>
      </c>
    </row>
    <row r="83" spans="1:10" x14ac:dyDescent="0.35">
      <c r="A83" s="6">
        <v>75</v>
      </c>
      <c r="B83" s="19" t="str">
        <f>'Data Mentah'!B80</f>
        <v>03/06/2024</v>
      </c>
      <c r="C83" s="19">
        <f>'Data Mentah'!D80</f>
        <v>136</v>
      </c>
      <c r="D83" s="20">
        <f t="shared" si="14"/>
        <v>129.748898726454</v>
      </c>
      <c r="E83" s="20">
        <f t="shared" si="15"/>
        <v>1.8479881720531841</v>
      </c>
      <c r="F83" s="20">
        <f t="shared" si="16"/>
        <v>125.58149787742335</v>
      </c>
      <c r="G83" s="20">
        <f t="shared" si="17"/>
        <v>10.418502122576655</v>
      </c>
      <c r="H83" s="20">
        <f t="shared" si="18"/>
        <v>10.418502122576655</v>
      </c>
      <c r="I83" s="21">
        <f t="shared" si="19"/>
        <v>108.54518647813426</v>
      </c>
      <c r="J83" s="21">
        <f t="shared" si="20"/>
        <v>7.6606633254240108</v>
      </c>
    </row>
    <row r="84" spans="1:10" x14ac:dyDescent="0.35">
      <c r="A84" s="6">
        <v>76</v>
      </c>
      <c r="B84" s="19" t="str">
        <f>'Data Mentah'!B81</f>
        <v>10/06/2024</v>
      </c>
      <c r="C84" s="19">
        <f>'Data Mentah'!D81</f>
        <v>126</v>
      </c>
      <c r="D84" s="20">
        <f t="shared" si="14"/>
        <v>129.35813213910433</v>
      </c>
      <c r="E84" s="20">
        <f t="shared" si="15"/>
        <v>1.6241126961128984</v>
      </c>
      <c r="F84" s="20">
        <f t="shared" si="16"/>
        <v>131.59688689850719</v>
      </c>
      <c r="G84" s="20">
        <f t="shared" si="17"/>
        <v>-5.5968868985071936</v>
      </c>
      <c r="H84" s="20">
        <f t="shared" si="18"/>
        <v>5.5968868985071936</v>
      </c>
      <c r="I84" s="21">
        <f t="shared" si="19"/>
        <v>31.325142954681471</v>
      </c>
      <c r="J84" s="21">
        <f t="shared" si="20"/>
        <v>4.4419737289739629</v>
      </c>
    </row>
    <row r="85" spans="1:10" x14ac:dyDescent="0.35">
      <c r="A85" s="6">
        <v>77</v>
      </c>
      <c r="B85" s="19" t="str">
        <f>'Data Mentah'!B82</f>
        <v>17/06/2024</v>
      </c>
      <c r="C85" s="19">
        <f>'Data Mentah'!D82</f>
        <v>130</v>
      </c>
      <c r="D85" s="20">
        <f t="shared" si="14"/>
        <v>130.58934690113034</v>
      </c>
      <c r="E85" s="20">
        <f t="shared" si="15"/>
        <v>1.58482290270421</v>
      </c>
      <c r="F85" s="20">
        <f t="shared" si="16"/>
        <v>130.98224483521722</v>
      </c>
      <c r="G85" s="20">
        <f t="shared" si="17"/>
        <v>-0.98224483521721595</v>
      </c>
      <c r="H85" s="20">
        <f t="shared" si="18"/>
        <v>0.98224483521721595</v>
      </c>
      <c r="I85" s="21">
        <f t="shared" si="19"/>
        <v>0.96480491631089571</v>
      </c>
      <c r="J85" s="21">
        <f t="shared" si="20"/>
        <v>0.75557295016708925</v>
      </c>
    </row>
    <row r="86" spans="1:10" x14ac:dyDescent="0.35">
      <c r="A86" s="6">
        <v>78</v>
      </c>
      <c r="B86" s="19" t="str">
        <f>'Data Mentah'!B83</f>
        <v>24/06/2024</v>
      </c>
      <c r="C86" s="19">
        <f>'Data Mentah'!D83</f>
        <v>130</v>
      </c>
      <c r="D86" s="20">
        <f t="shared" si="14"/>
        <v>131.30450188230071</v>
      </c>
      <c r="E86" s="20">
        <f t="shared" si="15"/>
        <v>1.4978561105508261</v>
      </c>
      <c r="F86" s="20">
        <f t="shared" si="16"/>
        <v>132.17416980383456</v>
      </c>
      <c r="G86" s="20">
        <f t="shared" si="17"/>
        <v>-2.1741698038345589</v>
      </c>
      <c r="H86" s="20">
        <f t="shared" si="18"/>
        <v>2.1741698038345589</v>
      </c>
      <c r="I86" s="21">
        <f t="shared" si="19"/>
        <v>4.7270143359060048</v>
      </c>
      <c r="J86" s="21">
        <f t="shared" si="20"/>
        <v>1.6724383106419685</v>
      </c>
    </row>
    <row r="87" spans="1:10" x14ac:dyDescent="0.35">
      <c r="A87" s="6">
        <v>79</v>
      </c>
      <c r="B87" s="19" t="str">
        <f>'Data Mentah'!B84</f>
        <v>01/07/2024</v>
      </c>
      <c r="C87" s="19">
        <f>'Data Mentah'!D84</f>
        <v>128</v>
      </c>
      <c r="D87" s="20">
        <f t="shared" si="14"/>
        <v>130.88141479571092</v>
      </c>
      <c r="E87" s="20">
        <f t="shared" si="15"/>
        <v>1.3057617908367647</v>
      </c>
      <c r="F87" s="20">
        <f t="shared" si="16"/>
        <v>132.80235799285154</v>
      </c>
      <c r="G87" s="20">
        <f t="shared" si="17"/>
        <v>-4.8023579928515403</v>
      </c>
      <c r="H87" s="20">
        <f t="shared" si="18"/>
        <v>4.8023579928515403</v>
      </c>
      <c r="I87" s="21">
        <f t="shared" si="19"/>
        <v>23.062642291505075</v>
      </c>
      <c r="J87" s="21">
        <f t="shared" si="20"/>
        <v>3.7518421819152659</v>
      </c>
    </row>
    <row r="88" spans="1:10" x14ac:dyDescent="0.35">
      <c r="A88" s="6">
        <v>80</v>
      </c>
      <c r="B88" s="19" t="str">
        <f>'Data Mentah'!B85</f>
        <v>08/07/2024</v>
      </c>
      <c r="C88" s="19">
        <f>'Data Mentah'!D85</f>
        <v>141</v>
      </c>
      <c r="D88" s="20">
        <f t="shared" si="14"/>
        <v>135.71230595192861</v>
      </c>
      <c r="E88" s="20">
        <f t="shared" si="15"/>
        <v>1.6582747273748573</v>
      </c>
      <c r="F88" s="20">
        <f t="shared" si="16"/>
        <v>132.18717658654768</v>
      </c>
      <c r="G88" s="20">
        <f t="shared" si="17"/>
        <v>8.8128234134523211</v>
      </c>
      <c r="H88" s="20">
        <f t="shared" si="18"/>
        <v>8.8128234134523211</v>
      </c>
      <c r="I88" s="21">
        <f t="shared" si="19"/>
        <v>77.665856516693424</v>
      </c>
      <c r="J88" s="21">
        <f t="shared" si="20"/>
        <v>6.2502293712427814</v>
      </c>
    </row>
    <row r="89" spans="1:10" x14ac:dyDescent="0.35">
      <c r="A89" s="6">
        <v>81</v>
      </c>
      <c r="B89" s="19" t="str">
        <f>'Data Mentah'!B86</f>
        <v>15/07/2024</v>
      </c>
      <c r="C89" s="19">
        <f>'Data Mentah'!D86</f>
        <v>138</v>
      </c>
      <c r="D89" s="20">
        <f t="shared" si="14"/>
        <v>137.62234840758208</v>
      </c>
      <c r="E89" s="20">
        <f t="shared" si="15"/>
        <v>1.6834515002027182</v>
      </c>
      <c r="F89" s="20">
        <f t="shared" si="16"/>
        <v>137.37058067930346</v>
      </c>
      <c r="G89" s="20">
        <f t="shared" si="17"/>
        <v>0.62941932069654172</v>
      </c>
      <c r="H89" s="20">
        <f t="shared" si="18"/>
        <v>0.62941932069654172</v>
      </c>
      <c r="I89" s="21">
        <f t="shared" si="19"/>
        <v>0.39616868126609606</v>
      </c>
      <c r="J89" s="21">
        <f t="shared" si="20"/>
        <v>0.45610095702647951</v>
      </c>
    </row>
    <row r="90" spans="1:10" x14ac:dyDescent="0.35">
      <c r="A90" s="6">
        <v>82</v>
      </c>
      <c r="B90" s="19" t="str">
        <f>'Data Mentah'!B87</f>
        <v>22/07/2024</v>
      </c>
      <c r="C90" s="19">
        <f>'Data Mentah'!D87</f>
        <v>134</v>
      </c>
      <c r="D90" s="20">
        <f t="shared" si="14"/>
        <v>137.18347994467089</v>
      </c>
      <c r="E90" s="20">
        <f t="shared" si="15"/>
        <v>1.4712195038913276</v>
      </c>
      <c r="F90" s="20">
        <f t="shared" si="16"/>
        <v>139.3057999077848</v>
      </c>
      <c r="G90" s="20">
        <f t="shared" si="17"/>
        <v>-5.3057999077848024</v>
      </c>
      <c r="H90" s="20">
        <f t="shared" si="18"/>
        <v>5.3057999077848024</v>
      </c>
      <c r="I90" s="21">
        <f t="shared" si="19"/>
        <v>28.151512661449217</v>
      </c>
      <c r="J90" s="21">
        <f t="shared" si="20"/>
        <v>3.9595521699886587</v>
      </c>
    </row>
    <row r="91" spans="1:10" x14ac:dyDescent="0.35">
      <c r="A91" s="6">
        <v>83</v>
      </c>
      <c r="B91" s="19" t="str">
        <f>'Data Mentah'!B88</f>
        <v>29/07/2024</v>
      </c>
      <c r="C91" s="19">
        <f>'Data Mentah'!D88</f>
        <v>135</v>
      </c>
      <c r="D91" s="20">
        <f t="shared" si="14"/>
        <v>137.19281966913732</v>
      </c>
      <c r="E91" s="20">
        <f t="shared" si="15"/>
        <v>1.3250315259488377</v>
      </c>
      <c r="F91" s="20">
        <f t="shared" si="16"/>
        <v>138.65469944856221</v>
      </c>
      <c r="G91" s="20">
        <f t="shared" si="17"/>
        <v>-3.6546994485622122</v>
      </c>
      <c r="H91" s="20">
        <f t="shared" si="18"/>
        <v>3.6546994485622122</v>
      </c>
      <c r="I91" s="21">
        <f t="shared" si="19"/>
        <v>13.356828059320938</v>
      </c>
      <c r="J91" s="21">
        <f t="shared" si="20"/>
        <v>2.7071847767127495</v>
      </c>
    </row>
    <row r="92" spans="1:10" x14ac:dyDescent="0.35">
      <c r="A92" s="6">
        <v>84</v>
      </c>
      <c r="B92" s="19" t="str">
        <f>'Data Mentah'!B89</f>
        <v>05/08/2024</v>
      </c>
      <c r="C92" s="19">
        <f>'Data Mentah'!D89</f>
        <v>124</v>
      </c>
      <c r="D92" s="20">
        <f t="shared" si="14"/>
        <v>132.71071071705171</v>
      </c>
      <c r="E92" s="20">
        <f t="shared" si="15"/>
        <v>0.74431747814539295</v>
      </c>
      <c r="F92" s="20">
        <f t="shared" si="16"/>
        <v>138.51785119508617</v>
      </c>
      <c r="G92" s="20">
        <f t="shared" si="17"/>
        <v>-14.517851195086166</v>
      </c>
      <c r="H92" s="20">
        <f t="shared" si="18"/>
        <v>14.517851195086166</v>
      </c>
      <c r="I92" s="21">
        <f t="shared" si="19"/>
        <v>210.76800332266481</v>
      </c>
      <c r="J92" s="21">
        <f t="shared" si="20"/>
        <v>11.707944512166263</v>
      </c>
    </row>
    <row r="93" spans="1:10" x14ac:dyDescent="0.35">
      <c r="A93" s="6">
        <v>85</v>
      </c>
      <c r="B93" s="19" t="str">
        <f>'Data Mentah'!B90</f>
        <v>12/08/2024</v>
      </c>
      <c r="C93" s="19">
        <f>'Data Mentah'!D90</f>
        <v>109</v>
      </c>
      <c r="D93" s="20">
        <f t="shared" si="14"/>
        <v>123.67301691711828</v>
      </c>
      <c r="E93" s="20">
        <f t="shared" si="15"/>
        <v>-0.23388364966248998</v>
      </c>
      <c r="F93" s="20">
        <f t="shared" si="16"/>
        <v>133.45502819519712</v>
      </c>
      <c r="G93" s="20">
        <f t="shared" si="17"/>
        <v>-24.455028195197116</v>
      </c>
      <c r="H93" s="20">
        <f t="shared" si="18"/>
        <v>24.455028195197116</v>
      </c>
      <c r="I93" s="21">
        <f t="shared" si="19"/>
        <v>598.04840402788591</v>
      </c>
      <c r="J93" s="21">
        <f t="shared" si="20"/>
        <v>22.435805683667081</v>
      </c>
    </row>
    <row r="94" spans="1:10" x14ac:dyDescent="0.35">
      <c r="A94" s="6">
        <v>86</v>
      </c>
      <c r="B94" s="19" t="str">
        <f>'Data Mentah'!B91</f>
        <v>19/08/2024</v>
      </c>
      <c r="C94" s="19">
        <f>'Data Mentah'!D91</f>
        <v>113</v>
      </c>
      <c r="D94" s="20">
        <f t="shared" si="14"/>
        <v>119.26347996047348</v>
      </c>
      <c r="E94" s="20">
        <f t="shared" si="15"/>
        <v>-0.65144898036072096</v>
      </c>
      <c r="F94" s="20">
        <f t="shared" si="16"/>
        <v>123.43913326745579</v>
      </c>
      <c r="G94" s="20">
        <f t="shared" si="17"/>
        <v>-10.439133267455787</v>
      </c>
      <c r="H94" s="20">
        <f t="shared" si="18"/>
        <v>10.439133267455787</v>
      </c>
      <c r="I94" s="21">
        <f t="shared" si="19"/>
        <v>108.97550337570215</v>
      </c>
      <c r="J94" s="21">
        <f t="shared" si="20"/>
        <v>9.2381710331467133</v>
      </c>
    </row>
    <row r="95" spans="1:10" x14ac:dyDescent="0.35">
      <c r="A95" s="6">
        <v>87</v>
      </c>
      <c r="B95" s="19" t="str">
        <f>'Data Mentah'!B92</f>
        <v>26/08/2024</v>
      </c>
      <c r="C95" s="19">
        <f>'Data Mentah'!D92</f>
        <v>118</v>
      </c>
      <c r="D95" s="20">
        <f t="shared" si="14"/>
        <v>118.36721858806764</v>
      </c>
      <c r="E95" s="20">
        <f t="shared" si="15"/>
        <v>-0.67593021956523214</v>
      </c>
      <c r="F95" s="20">
        <f t="shared" si="16"/>
        <v>118.61203098011275</v>
      </c>
      <c r="G95" s="20">
        <f t="shared" si="17"/>
        <v>-0.61203098011274903</v>
      </c>
      <c r="H95" s="20">
        <f t="shared" si="18"/>
        <v>0.61203098011274903</v>
      </c>
      <c r="I95" s="21">
        <f t="shared" si="19"/>
        <v>0.37458192061777218</v>
      </c>
      <c r="J95" s="21">
        <f t="shared" si="20"/>
        <v>0.51867032212944841</v>
      </c>
    </row>
    <row r="96" spans="1:10" x14ac:dyDescent="0.35">
      <c r="A96" s="6">
        <v>88</v>
      </c>
      <c r="B96" s="19" t="str">
        <f>'Data Mentah'!B93</f>
        <v>02/09/2024</v>
      </c>
      <c r="C96" s="19">
        <f>'Data Mentah'!D93</f>
        <v>117</v>
      </c>
      <c r="D96" s="20">
        <f t="shared" si="14"/>
        <v>117.41477302110144</v>
      </c>
      <c r="E96" s="20">
        <f t="shared" si="15"/>
        <v>-0.70358175430532943</v>
      </c>
      <c r="F96" s="20">
        <f t="shared" si="16"/>
        <v>117.69128836850241</v>
      </c>
      <c r="G96" s="20">
        <f t="shared" si="17"/>
        <v>-0.69128836850241271</v>
      </c>
      <c r="H96" s="20">
        <f t="shared" si="18"/>
        <v>0.69128836850241271</v>
      </c>
      <c r="I96" s="21">
        <f t="shared" si="19"/>
        <v>0.47787960842672755</v>
      </c>
      <c r="J96" s="21">
        <f t="shared" si="20"/>
        <v>0.59084475940377157</v>
      </c>
    </row>
    <row r="97" spans="1:10" x14ac:dyDescent="0.35">
      <c r="A97" s="6">
        <v>89</v>
      </c>
      <c r="B97" s="19" t="str">
        <f>'Data Mentah'!B94</f>
        <v>09/09/2024</v>
      </c>
      <c r="C97" s="19">
        <f>'Data Mentah'!D94</f>
        <v>125</v>
      </c>
      <c r="D97" s="20">
        <f t="shared" si="14"/>
        <v>120.02671476007767</v>
      </c>
      <c r="E97" s="20">
        <f t="shared" si="15"/>
        <v>-0.37202940497717374</v>
      </c>
      <c r="F97" s="20">
        <f t="shared" si="16"/>
        <v>116.71119126679611</v>
      </c>
      <c r="G97" s="20">
        <f t="shared" si="17"/>
        <v>8.2888087332038936</v>
      </c>
      <c r="H97" s="20">
        <f t="shared" si="18"/>
        <v>8.2888087332038936</v>
      </c>
      <c r="I97" s="21">
        <f t="shared" si="19"/>
        <v>68.704350215637135</v>
      </c>
      <c r="J97" s="21">
        <f t="shared" si="20"/>
        <v>6.6310469865631143</v>
      </c>
    </row>
    <row r="98" spans="1:10" x14ac:dyDescent="0.35">
      <c r="A98" s="6">
        <v>90</v>
      </c>
      <c r="B98" s="19" t="str">
        <f>'Data Mentah'!B95</f>
        <v>16/09/2024</v>
      </c>
      <c r="C98" s="19">
        <f>'Data Mentah'!D95</f>
        <v>125</v>
      </c>
      <c r="D98" s="20">
        <f t="shared" si="14"/>
        <v>121.79281121306029</v>
      </c>
      <c r="E98" s="20">
        <f t="shared" si="15"/>
        <v>-0.15821681918119404</v>
      </c>
      <c r="F98" s="20">
        <f t="shared" si="16"/>
        <v>119.6546853551005</v>
      </c>
      <c r="G98" s="20">
        <f t="shared" si="17"/>
        <v>5.3453146448995028</v>
      </c>
      <c r="H98" s="20">
        <f t="shared" si="18"/>
        <v>5.3453146448995028</v>
      </c>
      <c r="I98" s="21">
        <f t="shared" si="19"/>
        <v>28.572388652977097</v>
      </c>
      <c r="J98" s="21">
        <f t="shared" si="20"/>
        <v>4.2762517159196021</v>
      </c>
    </row>
    <row r="99" spans="1:10" x14ac:dyDescent="0.35">
      <c r="A99" s="6">
        <v>91</v>
      </c>
      <c r="B99" s="19" t="str">
        <f>'Data Mentah'!B96</f>
        <v>23/09/2024</v>
      </c>
      <c r="C99" s="19">
        <f>'Data Mentah'!D96</f>
        <v>113</v>
      </c>
      <c r="D99" s="20">
        <f t="shared" si="14"/>
        <v>118.18075663632746</v>
      </c>
      <c r="E99" s="20">
        <f t="shared" si="15"/>
        <v>-0.50360059493635778</v>
      </c>
      <c r="F99" s="20">
        <f t="shared" si="16"/>
        <v>121.6345943938791</v>
      </c>
      <c r="G99" s="20">
        <f t="shared" si="17"/>
        <v>-8.6345943938790981</v>
      </c>
      <c r="H99" s="20">
        <f t="shared" si="18"/>
        <v>8.6345943938790981</v>
      </c>
      <c r="I99" s="21">
        <f t="shared" si="19"/>
        <v>74.556220346808345</v>
      </c>
      <c r="J99" s="21">
        <f t="shared" si="20"/>
        <v>7.6412339768841573</v>
      </c>
    </row>
    <row r="100" spans="1:10" x14ac:dyDescent="0.35">
      <c r="A100" s="6">
        <v>92</v>
      </c>
      <c r="B100" s="19" t="str">
        <f>'Data Mentah'!B97</f>
        <v>30/09/2024</v>
      </c>
      <c r="C100" s="19">
        <f>'Data Mentah'!D97</f>
        <v>127</v>
      </c>
      <c r="D100" s="20">
        <f t="shared" si="14"/>
        <v>121.40629362483466</v>
      </c>
      <c r="E100" s="20">
        <f t="shared" si="15"/>
        <v>-0.13068683659200186</v>
      </c>
      <c r="F100" s="20">
        <f t="shared" si="16"/>
        <v>117.6771560413911</v>
      </c>
      <c r="G100" s="20">
        <f t="shared" si="17"/>
        <v>9.3228439586088996</v>
      </c>
      <c r="H100" s="20">
        <f t="shared" si="18"/>
        <v>9.3228439586088996</v>
      </c>
      <c r="I100" s="21">
        <f t="shared" si="19"/>
        <v>86.915419476570463</v>
      </c>
      <c r="J100" s="21">
        <f t="shared" si="20"/>
        <v>7.3408220146526775</v>
      </c>
    </row>
    <row r="101" spans="1:10" x14ac:dyDescent="0.35">
      <c r="A101" s="6">
        <v>93</v>
      </c>
      <c r="B101" s="19" t="str">
        <f>'Data Mentah'!B98</f>
        <v>07/10/2024</v>
      </c>
      <c r="C101" s="19">
        <f>'Data Mentah'!D98</f>
        <v>120</v>
      </c>
      <c r="D101" s="20">
        <f t="shared" si="14"/>
        <v>120.76536407294559</v>
      </c>
      <c r="E101" s="20">
        <f t="shared" si="15"/>
        <v>-0.18171110812170899</v>
      </c>
      <c r="F101" s="20">
        <f t="shared" si="16"/>
        <v>121.27560678824265</v>
      </c>
      <c r="G101" s="20">
        <f t="shared" si="17"/>
        <v>-1.2756067882426549</v>
      </c>
      <c r="H101" s="20">
        <f t="shared" si="18"/>
        <v>1.2756067882426549</v>
      </c>
      <c r="I101" s="21">
        <f t="shared" si="19"/>
        <v>1.6271726782107416</v>
      </c>
      <c r="J101" s="21">
        <f t="shared" si="20"/>
        <v>1.063005656868879</v>
      </c>
    </row>
    <row r="102" spans="1:10" x14ac:dyDescent="0.35">
      <c r="A102" s="6">
        <v>94</v>
      </c>
      <c r="B102" s="19" t="str">
        <f>'Data Mentah'!B99</f>
        <v>14/10/2024</v>
      </c>
      <c r="C102" s="19">
        <f>'Data Mentah'!D99</f>
        <v>116</v>
      </c>
      <c r="D102" s="20">
        <f t="shared" si="14"/>
        <v>118.75019177889433</v>
      </c>
      <c r="E102" s="20">
        <f t="shared" si="15"/>
        <v>-0.36505722671466351</v>
      </c>
      <c r="F102" s="20">
        <f t="shared" si="16"/>
        <v>120.58365296482388</v>
      </c>
      <c r="G102" s="20">
        <f t="shared" si="17"/>
        <v>-4.5836529648238837</v>
      </c>
      <c r="H102" s="20">
        <f t="shared" si="18"/>
        <v>4.5836529648238837</v>
      </c>
      <c r="I102" s="21">
        <f t="shared" si="19"/>
        <v>21.009874501938778</v>
      </c>
      <c r="J102" s="21">
        <f t="shared" si="20"/>
        <v>3.9514249696757617</v>
      </c>
    </row>
    <row r="103" spans="1:10" x14ac:dyDescent="0.35">
      <c r="A103" s="6">
        <v>95</v>
      </c>
      <c r="B103" s="19" t="str">
        <f>'Data Mentah'!B100</f>
        <v>21/10/2024</v>
      </c>
      <c r="C103" s="19">
        <f>'Data Mentah'!D100</f>
        <v>110</v>
      </c>
      <c r="D103" s="20">
        <f t="shared" si="14"/>
        <v>115.0310807313078</v>
      </c>
      <c r="E103" s="20">
        <f t="shared" si="15"/>
        <v>-0.70046260880185085</v>
      </c>
      <c r="F103" s="20">
        <f t="shared" si="16"/>
        <v>118.38513455217966</v>
      </c>
      <c r="G103" s="20">
        <f t="shared" si="17"/>
        <v>-8.3851345521796645</v>
      </c>
      <c r="H103" s="20">
        <f t="shared" si="18"/>
        <v>8.3851345521796645</v>
      </c>
      <c r="I103" s="21">
        <f t="shared" si="19"/>
        <v>70.31048145815727</v>
      </c>
      <c r="J103" s="21">
        <f t="shared" si="20"/>
        <v>7.6228495928906046</v>
      </c>
    </row>
    <row r="104" spans="1:10" x14ac:dyDescent="0.35">
      <c r="A104" s="6">
        <v>96</v>
      </c>
      <c r="B104" s="19" t="str">
        <f>'Data Mentah'!B101</f>
        <v>28/10/2024</v>
      </c>
      <c r="C104" s="19">
        <f>'Data Mentah'!D101</f>
        <v>112</v>
      </c>
      <c r="D104" s="20">
        <f t="shared" si="14"/>
        <v>113.39837087350355</v>
      </c>
      <c r="E104" s="20">
        <f t="shared" si="15"/>
        <v>-0.79368733370209021</v>
      </c>
      <c r="F104" s="20">
        <f t="shared" si="16"/>
        <v>114.33061812250594</v>
      </c>
      <c r="G104" s="20">
        <f t="shared" si="17"/>
        <v>-2.330618122505939</v>
      </c>
      <c r="H104" s="20">
        <f t="shared" si="18"/>
        <v>2.330618122505939</v>
      </c>
      <c r="I104" s="21">
        <f t="shared" si="19"/>
        <v>5.4317808329531081</v>
      </c>
      <c r="J104" s="21">
        <f t="shared" si="20"/>
        <v>2.0809090379517312</v>
      </c>
    </row>
    <row r="105" spans="1:10" x14ac:dyDescent="0.35">
      <c r="A105" s="6">
        <v>97</v>
      </c>
      <c r="B105" s="19" t="str">
        <f>'Data Mentah'!B102</f>
        <v>04/11/2024</v>
      </c>
      <c r="C105" s="19">
        <f>'Data Mentah'!D102</f>
        <v>127</v>
      </c>
      <c r="D105" s="20">
        <f t="shared" ref="D105:D136" si="21">$E$4*C105+(1-$E$4)*(D104+E104)</f>
        <v>118.36281012388088</v>
      </c>
      <c r="E105" s="20">
        <f t="shared" ref="E105:E136" si="22">$H$4*(D105-D104)+(1-$H$4)*E104</f>
        <v>-0.21787467529414872</v>
      </c>
      <c r="F105" s="20">
        <f t="shared" ref="F105:F113" si="23">D104+E104</f>
        <v>112.60468353980146</v>
      </c>
      <c r="G105" s="20">
        <f t="shared" ref="G105:G136" si="24">C105-F105</f>
        <v>14.395316460198543</v>
      </c>
      <c r="H105" s="20">
        <f t="shared" ref="H105:H136" si="25">ABS(G105)</f>
        <v>14.395316460198543</v>
      </c>
      <c r="I105" s="21">
        <f t="shared" ref="I105:I113" si="26">G105^2</f>
        <v>207.22513598926312</v>
      </c>
      <c r="J105" s="21">
        <f t="shared" ref="J105:J113" si="27">ABS(G105/C105)*100</f>
        <v>11.334894850550034</v>
      </c>
    </row>
    <row r="106" spans="1:10" x14ac:dyDescent="0.35">
      <c r="A106" s="6">
        <v>98</v>
      </c>
      <c r="B106" s="19" t="str">
        <f>'Data Mentah'!B103</f>
        <v>11/11/2024</v>
      </c>
      <c r="C106" s="19">
        <f>'Data Mentah'!D103</f>
        <v>123</v>
      </c>
      <c r="D106" s="20">
        <f t="shared" si="21"/>
        <v>120.08696126915203</v>
      </c>
      <c r="E106" s="20">
        <f t="shared" si="22"/>
        <v>-2.3672093237618763E-2</v>
      </c>
      <c r="F106" s="20">
        <f t="shared" si="23"/>
        <v>118.14493544858672</v>
      </c>
      <c r="G106" s="20">
        <f t="shared" si="24"/>
        <v>4.8550645514132782</v>
      </c>
      <c r="H106" s="20">
        <f t="shared" si="25"/>
        <v>4.8550645514132782</v>
      </c>
      <c r="I106" s="21">
        <f t="shared" si="26"/>
        <v>23.571651798389816</v>
      </c>
      <c r="J106" s="21">
        <f t="shared" si="27"/>
        <v>3.9472069523685192</v>
      </c>
    </row>
    <row r="107" spans="1:10" x14ac:dyDescent="0.35">
      <c r="A107" s="6">
        <v>99</v>
      </c>
      <c r="B107" s="19" t="str">
        <f>'Data Mentah'!B104</f>
        <v>18/11/2024</v>
      </c>
      <c r="C107" s="19">
        <f>'Data Mentah'!D104</f>
        <v>131</v>
      </c>
      <c r="D107" s="20">
        <f t="shared" si="21"/>
        <v>124.43797350554864</v>
      </c>
      <c r="E107" s="20">
        <f t="shared" si="22"/>
        <v>0.41379633972580449</v>
      </c>
      <c r="F107" s="20">
        <f t="shared" si="23"/>
        <v>120.06328917591441</v>
      </c>
      <c r="G107" s="20">
        <f t="shared" si="24"/>
        <v>10.936710824085594</v>
      </c>
      <c r="H107" s="20">
        <f t="shared" si="25"/>
        <v>10.936710824085594</v>
      </c>
      <c r="I107" s="21">
        <f t="shared" si="26"/>
        <v>119.611643649671</v>
      </c>
      <c r="J107" s="21">
        <f t="shared" si="27"/>
        <v>8.3486342168592333</v>
      </c>
    </row>
    <row r="108" spans="1:10" x14ac:dyDescent="0.35">
      <c r="A108" s="6">
        <v>100</v>
      </c>
      <c r="B108" s="19" t="str">
        <f>'Data Mentah'!B105</f>
        <v>25/11/2024</v>
      </c>
      <c r="C108" s="19">
        <f>'Data Mentah'!D105</f>
        <v>122</v>
      </c>
      <c r="D108" s="20">
        <f t="shared" si="21"/>
        <v>123.71106190716466</v>
      </c>
      <c r="E108" s="20">
        <f t="shared" si="22"/>
        <v>0.29972554591482625</v>
      </c>
      <c r="F108" s="20">
        <f t="shared" si="23"/>
        <v>124.85176984527445</v>
      </c>
      <c r="G108" s="20">
        <f t="shared" si="24"/>
        <v>-2.8517698452744469</v>
      </c>
      <c r="H108" s="20">
        <f t="shared" si="25"/>
        <v>2.8517698452744469</v>
      </c>
      <c r="I108" s="21">
        <f t="shared" si="26"/>
        <v>8.1325912504166435</v>
      </c>
      <c r="J108" s="21">
        <f t="shared" si="27"/>
        <v>2.3375162666183993</v>
      </c>
    </row>
    <row r="109" spans="1:10" x14ac:dyDescent="0.35">
      <c r="A109" s="6">
        <v>101</v>
      </c>
      <c r="B109" s="19" t="str">
        <f>'Data Mentah'!B106</f>
        <v>02/12/2024</v>
      </c>
      <c r="C109" s="19">
        <f>'Data Mentah'!D106</f>
        <v>108</v>
      </c>
      <c r="D109" s="20">
        <f t="shared" si="21"/>
        <v>117.6064724718477</v>
      </c>
      <c r="E109" s="20">
        <f t="shared" si="22"/>
        <v>-0.34070595220835309</v>
      </c>
      <c r="F109" s="20">
        <f t="shared" si="23"/>
        <v>124.01078745307949</v>
      </c>
      <c r="G109" s="20">
        <f t="shared" si="24"/>
        <v>-16.010787453079487</v>
      </c>
      <c r="H109" s="20">
        <f t="shared" si="25"/>
        <v>16.010787453079487</v>
      </c>
      <c r="I109" s="21">
        <f t="shared" si="26"/>
        <v>256.34531486768753</v>
      </c>
      <c r="J109" s="21">
        <f t="shared" si="27"/>
        <v>14.824803197295822</v>
      </c>
    </row>
    <row r="110" spans="1:10" x14ac:dyDescent="0.35">
      <c r="A110" s="6">
        <v>102</v>
      </c>
      <c r="B110" s="19" t="str">
        <f>'Data Mentah'!B107</f>
        <v>09/12/2024</v>
      </c>
      <c r="C110" s="19">
        <f>'Data Mentah'!D107</f>
        <v>119</v>
      </c>
      <c r="D110" s="20">
        <f t="shared" si="21"/>
        <v>117.9594599117836</v>
      </c>
      <c r="E110" s="20">
        <f t="shared" si="22"/>
        <v>-0.27133661299392764</v>
      </c>
      <c r="F110" s="20">
        <f t="shared" si="23"/>
        <v>117.26576651963934</v>
      </c>
      <c r="G110" s="20">
        <f t="shared" si="24"/>
        <v>1.7342334803606576</v>
      </c>
      <c r="H110" s="20">
        <f t="shared" si="25"/>
        <v>1.7342334803606576</v>
      </c>
      <c r="I110" s="21">
        <f t="shared" si="26"/>
        <v>3.0075657644038394</v>
      </c>
      <c r="J110" s="21">
        <f t="shared" si="27"/>
        <v>1.4573390591266029</v>
      </c>
    </row>
    <row r="111" spans="1:10" x14ac:dyDescent="0.35">
      <c r="A111" s="6">
        <v>103</v>
      </c>
      <c r="B111" s="19" t="str">
        <f>'Data Mentah'!B108</f>
        <v>16/12/2024</v>
      </c>
      <c r="C111" s="19">
        <f>'Data Mentah'!D108</f>
        <v>120</v>
      </c>
      <c r="D111" s="20">
        <f t="shared" si="21"/>
        <v>118.6128739792738</v>
      </c>
      <c r="E111" s="20">
        <f t="shared" si="22"/>
        <v>-0.17886154494551454</v>
      </c>
      <c r="F111" s="20">
        <f t="shared" si="23"/>
        <v>117.68812329878966</v>
      </c>
      <c r="G111" s="20">
        <f t="shared" si="24"/>
        <v>2.3118767012103376</v>
      </c>
      <c r="H111" s="20">
        <f t="shared" si="25"/>
        <v>2.3118767012103376</v>
      </c>
      <c r="I111" s="21">
        <f t="shared" si="26"/>
        <v>5.3447738815991928</v>
      </c>
      <c r="J111" s="21">
        <f t="shared" si="27"/>
        <v>1.9265639176752816</v>
      </c>
    </row>
    <row r="112" spans="1:10" x14ac:dyDescent="0.35">
      <c r="A112" s="6">
        <v>104</v>
      </c>
      <c r="B112" s="19" t="str">
        <f>'Data Mentah'!B109</f>
        <v>23/12/2024</v>
      </c>
      <c r="C112" s="19">
        <f>'Data Mentah'!D109</f>
        <v>122</v>
      </c>
      <c r="D112" s="20">
        <f t="shared" si="21"/>
        <v>119.86040746059697</v>
      </c>
      <c r="E112" s="20">
        <f t="shared" si="22"/>
        <v>-3.6222042318645689E-2</v>
      </c>
      <c r="F112" s="20">
        <f t="shared" si="23"/>
        <v>118.43401243432828</v>
      </c>
      <c r="G112" s="20">
        <f t="shared" si="24"/>
        <v>3.565987565671719</v>
      </c>
      <c r="H112" s="20">
        <f t="shared" si="25"/>
        <v>3.565987565671719</v>
      </c>
      <c r="I112" s="21">
        <f t="shared" si="26"/>
        <v>12.716267318525313</v>
      </c>
      <c r="J112" s="21">
        <f t="shared" si="27"/>
        <v>2.9229406275997696</v>
      </c>
    </row>
    <row r="113" spans="1:10" x14ac:dyDescent="0.35">
      <c r="A113" s="6">
        <v>105</v>
      </c>
      <c r="B113" s="19" t="str">
        <f>'Data Mentah'!B110</f>
        <v>30/12/2024</v>
      </c>
      <c r="C113" s="19">
        <f>'Data Mentah'!D110</f>
        <v>106</v>
      </c>
      <c r="D113" s="20">
        <f t="shared" si="21"/>
        <v>114.29451125096701</v>
      </c>
      <c r="E113" s="20">
        <f t="shared" si="22"/>
        <v>-0.58918945904977804</v>
      </c>
      <c r="F113" s="20">
        <f t="shared" si="23"/>
        <v>119.82418541827833</v>
      </c>
      <c r="G113" s="20">
        <f t="shared" si="24"/>
        <v>-13.824185418278333</v>
      </c>
      <c r="H113" s="20">
        <f t="shared" si="25"/>
        <v>13.824185418278333</v>
      </c>
      <c r="I113" s="21">
        <f t="shared" si="26"/>
        <v>191.10810247893929</v>
      </c>
      <c r="J113" s="21">
        <f t="shared" si="27"/>
        <v>13.041684356866352</v>
      </c>
    </row>
    <row r="115" spans="1:10" x14ac:dyDescent="0.35">
      <c r="A115" s="2" t="s">
        <v>178</v>
      </c>
      <c r="B115" s="2"/>
      <c r="C115" s="2"/>
      <c r="D115" s="2"/>
    </row>
    <row r="116" spans="1:10" x14ac:dyDescent="0.35">
      <c r="A116" s="1" t="s">
        <v>179</v>
      </c>
      <c r="B116" s="1"/>
      <c r="C116" s="1"/>
      <c r="D116" s="22">
        <f>AVERAGE(H93:H113)</f>
        <v>7.37380891758019</v>
      </c>
    </row>
    <row r="117" spans="1:10" x14ac:dyDescent="0.35">
      <c r="A117" s="1" t="s">
        <v>180</v>
      </c>
      <c r="B117" s="1"/>
      <c r="C117" s="1"/>
      <c r="D117" s="22">
        <f>AVERAGE(I93:I113)</f>
        <v>90.098433528322929</v>
      </c>
    </row>
    <row r="118" spans="1:10" x14ac:dyDescent="0.35">
      <c r="A118" s="1" t="s">
        <v>181</v>
      </c>
      <c r="B118" s="1"/>
      <c r="C118" s="1"/>
      <c r="D118" s="23">
        <f>AVERAGE(J93:J113)</f>
        <v>6.358696152129216</v>
      </c>
    </row>
    <row r="119" spans="1:10" x14ac:dyDescent="0.35">
      <c r="A119" s="1" t="s">
        <v>182</v>
      </c>
      <c r="B119" s="1"/>
      <c r="C119" s="1"/>
      <c r="D119" s="24" t="str">
        <f>IF(D118&lt;10,"Sangat Baik",IF(D118&lt;20,"Baik",IF(D118&lt;=50,"Cukup","Rendah")))</f>
        <v>Sangat Baik</v>
      </c>
    </row>
    <row r="120" spans="1:10" x14ac:dyDescent="0.35">
      <c r="A120" s="1" t="s">
        <v>183</v>
      </c>
      <c r="B120" s="1"/>
      <c r="C120" s="1"/>
      <c r="D120" s="23">
        <f>D113+E113</f>
        <v>113.70532179191723</v>
      </c>
    </row>
    <row r="121" spans="1:10" x14ac:dyDescent="0.35">
      <c r="A121" s="1" t="s">
        <v>184</v>
      </c>
      <c r="B121" s="1"/>
      <c r="C121" s="1"/>
      <c r="D121" s="23">
        <f>AVERAGE(C9:C113)</f>
        <v>116.41904761904762</v>
      </c>
    </row>
  </sheetData>
  <mergeCells count="9">
    <mergeCell ref="A118:C118"/>
    <mergeCell ref="A119:C119"/>
    <mergeCell ref="A120:C120"/>
    <mergeCell ref="A121:C121"/>
    <mergeCell ref="A1:J1"/>
    <mergeCell ref="A2:J2"/>
    <mergeCell ref="A115:D115"/>
    <mergeCell ref="A116:C116"/>
    <mergeCell ref="A117:C117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21"/>
  <sheetViews>
    <sheetView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8.6328125" defaultRowHeight="14.5" x14ac:dyDescent="0.35"/>
  <cols>
    <col min="1" max="1" width="9" customWidth="1"/>
    <col min="2" max="2" width="12" customWidth="1"/>
    <col min="3" max="3" width="9" customWidth="1"/>
    <col min="4" max="6" width="11" customWidth="1"/>
    <col min="7" max="8" width="10" customWidth="1"/>
    <col min="9" max="9" width="11" customWidth="1"/>
    <col min="10" max="10" width="10" customWidth="1"/>
  </cols>
  <sheetData>
    <row r="1" spans="1:10" ht="18" x14ac:dyDescent="0.4">
      <c r="A1" s="3" t="s">
        <v>186</v>
      </c>
      <c r="B1" s="3"/>
      <c r="C1" s="3"/>
      <c r="D1" s="3"/>
      <c r="E1" s="3"/>
      <c r="F1" s="3"/>
      <c r="G1" s="3"/>
      <c r="H1" s="3"/>
      <c r="I1" s="3"/>
      <c r="J1" s="3"/>
    </row>
    <row r="2" spans="1:10" ht="27.75" customHeight="1" x14ac:dyDescent="0.35">
      <c r="A2" s="4" t="s">
        <v>163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35">
      <c r="A4" s="15" t="s">
        <v>164</v>
      </c>
      <c r="B4" s="16" t="s">
        <v>7</v>
      </c>
      <c r="D4" s="15" t="s">
        <v>165</v>
      </c>
      <c r="E4" s="17">
        <v>0.1</v>
      </c>
      <c r="G4" s="15" t="s">
        <v>166</v>
      </c>
      <c r="H4" s="17">
        <v>0.3</v>
      </c>
    </row>
    <row r="5" spans="1:10" x14ac:dyDescent="0.35">
      <c r="A5" s="15" t="s">
        <v>167</v>
      </c>
      <c r="B5" s="18">
        <f>'Data Mentah'!E5</f>
        <v>15</v>
      </c>
      <c r="D5" s="15" t="s">
        <v>168</v>
      </c>
      <c r="E5" s="17">
        <v>0</v>
      </c>
    </row>
    <row r="7" spans="1:10" x14ac:dyDescent="0.35">
      <c r="A7" s="5" t="s">
        <v>169</v>
      </c>
      <c r="B7" s="5" t="s">
        <v>4</v>
      </c>
      <c r="C7" s="5" t="s">
        <v>170</v>
      </c>
      <c r="D7" s="5" t="s">
        <v>171</v>
      </c>
      <c r="E7" s="5" t="s">
        <v>172</v>
      </c>
      <c r="F7" s="5" t="s">
        <v>173</v>
      </c>
      <c r="G7" s="5" t="s">
        <v>174</v>
      </c>
      <c r="H7" s="5" t="s">
        <v>175</v>
      </c>
      <c r="I7" s="5" t="s">
        <v>176</v>
      </c>
      <c r="J7" s="5" t="s">
        <v>177</v>
      </c>
    </row>
    <row r="8" spans="1:10" x14ac:dyDescent="0.35">
      <c r="A8" s="6">
        <v>0</v>
      </c>
      <c r="B8" s="19" t="str">
        <f>'Data Mentah'!B5</f>
        <v>26/12/2022</v>
      </c>
      <c r="C8" s="19">
        <f>'Data Mentah'!E5</f>
        <v>15</v>
      </c>
      <c r="D8" s="10">
        <f>$B$5</f>
        <v>15</v>
      </c>
      <c r="E8" s="10">
        <f>$E$5</f>
        <v>0</v>
      </c>
    </row>
    <row r="9" spans="1:10" x14ac:dyDescent="0.35">
      <c r="A9" s="6">
        <v>1</v>
      </c>
      <c r="B9" s="19" t="str">
        <f>'Data Mentah'!B6</f>
        <v>02/01/2023</v>
      </c>
      <c r="C9" s="19">
        <f>'Data Mentah'!E6</f>
        <v>69</v>
      </c>
      <c r="D9" s="20">
        <f t="shared" ref="D9:D40" si="0">$E$4*C9+(1-$E$4)*(D8+E8)</f>
        <v>20.399999999999999</v>
      </c>
      <c r="E9" s="20">
        <f t="shared" ref="E9:E40" si="1">$H$4*(D9-D8)+(1-$H$4)*E8</f>
        <v>1.6199999999999994</v>
      </c>
      <c r="F9" s="20">
        <f t="shared" ref="F9:F40" si="2">D8+E8</f>
        <v>15</v>
      </c>
      <c r="G9" s="20">
        <f t="shared" ref="G9:G40" si="3">C9-F9</f>
        <v>54</v>
      </c>
      <c r="H9" s="20">
        <f t="shared" ref="H9:H40" si="4">ABS(G9)</f>
        <v>54</v>
      </c>
      <c r="I9" s="21">
        <f t="shared" ref="I9:I40" si="5">G9^2</f>
        <v>2916</v>
      </c>
      <c r="J9" s="21">
        <f t="shared" ref="J9:J40" si="6">ABS(G9/C9)*100</f>
        <v>78.260869565217391</v>
      </c>
    </row>
    <row r="10" spans="1:10" x14ac:dyDescent="0.35">
      <c r="A10" s="6">
        <v>2</v>
      </c>
      <c r="B10" s="19" t="str">
        <f>'Data Mentah'!B7</f>
        <v>09/01/2023</v>
      </c>
      <c r="C10" s="19">
        <f>'Data Mentah'!E7</f>
        <v>75</v>
      </c>
      <c r="D10" s="20">
        <f t="shared" si="0"/>
        <v>27.318000000000001</v>
      </c>
      <c r="E10" s="20">
        <f t="shared" si="1"/>
        <v>3.2094</v>
      </c>
      <c r="F10" s="20">
        <f t="shared" si="2"/>
        <v>22.02</v>
      </c>
      <c r="G10" s="20">
        <f t="shared" si="3"/>
        <v>52.980000000000004</v>
      </c>
      <c r="H10" s="20">
        <f t="shared" si="4"/>
        <v>52.980000000000004</v>
      </c>
      <c r="I10" s="21">
        <f t="shared" si="5"/>
        <v>2806.8804000000005</v>
      </c>
      <c r="J10" s="21">
        <f t="shared" si="6"/>
        <v>70.64</v>
      </c>
    </row>
    <row r="11" spans="1:10" x14ac:dyDescent="0.35">
      <c r="A11" s="6">
        <v>3</v>
      </c>
      <c r="B11" s="19" t="str">
        <f>'Data Mentah'!B8</f>
        <v>16/01/2023</v>
      </c>
      <c r="C11" s="19">
        <f>'Data Mentah'!E8</f>
        <v>95</v>
      </c>
      <c r="D11" s="20">
        <f t="shared" si="0"/>
        <v>36.97466</v>
      </c>
      <c r="E11" s="20">
        <f t="shared" si="1"/>
        <v>5.1435779999999998</v>
      </c>
      <c r="F11" s="20">
        <f t="shared" si="2"/>
        <v>30.5274</v>
      </c>
      <c r="G11" s="20">
        <f t="shared" si="3"/>
        <v>64.4726</v>
      </c>
      <c r="H11" s="20">
        <f t="shared" si="4"/>
        <v>64.4726</v>
      </c>
      <c r="I11" s="21">
        <f t="shared" si="5"/>
        <v>4156.7161507600003</v>
      </c>
      <c r="J11" s="21">
        <f t="shared" si="6"/>
        <v>67.865894736842108</v>
      </c>
    </row>
    <row r="12" spans="1:10" x14ac:dyDescent="0.35">
      <c r="A12" s="6">
        <v>4</v>
      </c>
      <c r="B12" s="19" t="str">
        <f>'Data Mentah'!B9</f>
        <v>23/01/2023</v>
      </c>
      <c r="C12" s="19">
        <f>'Data Mentah'!E9</f>
        <v>121</v>
      </c>
      <c r="D12" s="20">
        <f t="shared" si="0"/>
        <v>50.006414200000002</v>
      </c>
      <c r="E12" s="20">
        <f t="shared" si="1"/>
        <v>7.5100308599999996</v>
      </c>
      <c r="F12" s="20">
        <f t="shared" si="2"/>
        <v>42.118237999999998</v>
      </c>
      <c r="G12" s="20">
        <f t="shared" si="3"/>
        <v>78.881762000000009</v>
      </c>
      <c r="H12" s="20">
        <f t="shared" si="4"/>
        <v>78.881762000000009</v>
      </c>
      <c r="I12" s="21">
        <f t="shared" si="5"/>
        <v>6222.3323762246455</v>
      </c>
      <c r="J12" s="21">
        <f t="shared" si="6"/>
        <v>65.19153884297522</v>
      </c>
    </row>
    <row r="13" spans="1:10" x14ac:dyDescent="0.35">
      <c r="A13" s="6">
        <v>5</v>
      </c>
      <c r="B13" s="19" t="str">
        <f>'Data Mentah'!B10</f>
        <v>30/01/2023</v>
      </c>
      <c r="C13" s="19">
        <f>'Data Mentah'!E10</f>
        <v>116</v>
      </c>
      <c r="D13" s="20">
        <f t="shared" si="0"/>
        <v>63.364800554000006</v>
      </c>
      <c r="E13" s="20">
        <f t="shared" si="1"/>
        <v>9.2645375082000001</v>
      </c>
      <c r="F13" s="20">
        <f t="shared" si="2"/>
        <v>57.516445060000002</v>
      </c>
      <c r="G13" s="20">
        <f t="shared" si="3"/>
        <v>58.483554939999998</v>
      </c>
      <c r="H13" s="20">
        <f t="shared" si="4"/>
        <v>58.483554939999998</v>
      </c>
      <c r="I13" s="21">
        <f t="shared" si="5"/>
        <v>3420.326198419998</v>
      </c>
      <c r="J13" s="21">
        <f t="shared" si="6"/>
        <v>50.416857706896543</v>
      </c>
    </row>
    <row r="14" spans="1:10" x14ac:dyDescent="0.35">
      <c r="A14" s="6">
        <v>6</v>
      </c>
      <c r="B14" s="19" t="str">
        <f>'Data Mentah'!B11</f>
        <v>06/02/2023</v>
      </c>
      <c r="C14" s="19">
        <f>'Data Mentah'!E11</f>
        <v>120</v>
      </c>
      <c r="D14" s="20">
        <f t="shared" si="0"/>
        <v>77.366404255980001</v>
      </c>
      <c r="E14" s="20">
        <f t="shared" si="1"/>
        <v>10.685657366333999</v>
      </c>
      <c r="F14" s="20">
        <f t="shared" si="2"/>
        <v>72.629338062200006</v>
      </c>
      <c r="G14" s="20">
        <f t="shared" si="3"/>
        <v>47.370661937799994</v>
      </c>
      <c r="H14" s="20">
        <f t="shared" si="4"/>
        <v>47.370661937799994</v>
      </c>
      <c r="I14" s="21">
        <f t="shared" si="5"/>
        <v>2243.979612425333</v>
      </c>
      <c r="J14" s="21">
        <f t="shared" si="6"/>
        <v>39.475551614833329</v>
      </c>
    </row>
    <row r="15" spans="1:10" x14ac:dyDescent="0.35">
      <c r="A15" s="6">
        <v>7</v>
      </c>
      <c r="B15" s="19" t="str">
        <f>'Data Mentah'!B12</f>
        <v>13/02/2023</v>
      </c>
      <c r="C15" s="19">
        <f>'Data Mentah'!E12</f>
        <v>109</v>
      </c>
      <c r="D15" s="20">
        <f t="shared" si="0"/>
        <v>90.146855460082605</v>
      </c>
      <c r="E15" s="20">
        <f t="shared" si="1"/>
        <v>11.31409551766458</v>
      </c>
      <c r="F15" s="20">
        <f t="shared" si="2"/>
        <v>88.052061622314</v>
      </c>
      <c r="G15" s="20">
        <f t="shared" si="3"/>
        <v>20.947938377686</v>
      </c>
      <c r="H15" s="20">
        <f t="shared" si="4"/>
        <v>20.947938377686</v>
      </c>
      <c r="I15" s="21">
        <f t="shared" si="5"/>
        <v>438.81612227532997</v>
      </c>
      <c r="J15" s="21">
        <f t="shared" si="6"/>
        <v>19.218292089620185</v>
      </c>
    </row>
    <row r="16" spans="1:10" x14ac:dyDescent="0.35">
      <c r="A16" s="6">
        <v>8</v>
      </c>
      <c r="B16" s="19" t="str">
        <f>'Data Mentah'!B13</f>
        <v>20/02/2023</v>
      </c>
      <c r="C16" s="19">
        <f>'Data Mentah'!E13</f>
        <v>105</v>
      </c>
      <c r="D16" s="20">
        <f t="shared" si="0"/>
        <v>101.81485587997247</v>
      </c>
      <c r="E16" s="20">
        <f t="shared" si="1"/>
        <v>11.420266988332164</v>
      </c>
      <c r="F16" s="20">
        <f t="shared" si="2"/>
        <v>101.46095097774719</v>
      </c>
      <c r="G16" s="20">
        <f t="shared" si="3"/>
        <v>3.5390490222528115</v>
      </c>
      <c r="H16" s="20">
        <f t="shared" si="4"/>
        <v>3.5390490222528115</v>
      </c>
      <c r="I16" s="21">
        <f t="shared" si="5"/>
        <v>12.524867981908582</v>
      </c>
      <c r="J16" s="21">
        <f t="shared" si="6"/>
        <v>3.3705228783360108</v>
      </c>
    </row>
    <row r="17" spans="1:10" x14ac:dyDescent="0.35">
      <c r="A17" s="6">
        <v>9</v>
      </c>
      <c r="B17" s="19" t="str">
        <f>'Data Mentah'!B14</f>
        <v>27/02/2023</v>
      </c>
      <c r="C17" s="19">
        <f>'Data Mentah'!E14</f>
        <v>104</v>
      </c>
      <c r="D17" s="20">
        <f t="shared" si="0"/>
        <v>112.31161058147417</v>
      </c>
      <c r="E17" s="20">
        <f t="shared" si="1"/>
        <v>11.143213302283025</v>
      </c>
      <c r="F17" s="20">
        <f t="shared" si="2"/>
        <v>113.23512286830463</v>
      </c>
      <c r="G17" s="20">
        <f t="shared" si="3"/>
        <v>-9.2351228683046287</v>
      </c>
      <c r="H17" s="20">
        <f t="shared" si="4"/>
        <v>9.2351228683046287</v>
      </c>
      <c r="I17" s="21">
        <f t="shared" si="5"/>
        <v>85.287494392683115</v>
      </c>
      <c r="J17" s="21">
        <f t="shared" si="6"/>
        <v>8.8799258349082955</v>
      </c>
    </row>
    <row r="18" spans="1:10" x14ac:dyDescent="0.35">
      <c r="A18" s="6">
        <v>10</v>
      </c>
      <c r="B18" s="19" t="str">
        <f>'Data Mentah'!B15</f>
        <v>06/03/2023</v>
      </c>
      <c r="C18" s="19">
        <f>'Data Mentah'!E15</f>
        <v>115</v>
      </c>
      <c r="D18" s="20">
        <f t="shared" si="0"/>
        <v>122.60934149538149</v>
      </c>
      <c r="E18" s="20">
        <f t="shared" si="1"/>
        <v>10.889568585770311</v>
      </c>
      <c r="F18" s="20">
        <f t="shared" si="2"/>
        <v>123.4548238837572</v>
      </c>
      <c r="G18" s="20">
        <f t="shared" si="3"/>
        <v>-8.4548238837572001</v>
      </c>
      <c r="H18" s="20">
        <f t="shared" si="4"/>
        <v>8.4548238837572001</v>
      </c>
      <c r="I18" s="21">
        <f t="shared" si="5"/>
        <v>71.484046905351178</v>
      </c>
      <c r="J18" s="21">
        <f t="shared" si="6"/>
        <v>7.3520207684845209</v>
      </c>
    </row>
    <row r="19" spans="1:10" x14ac:dyDescent="0.35">
      <c r="A19" s="6">
        <v>11</v>
      </c>
      <c r="B19" s="19" t="str">
        <f>'Data Mentah'!B16</f>
        <v>13/03/2023</v>
      </c>
      <c r="C19" s="19">
        <f>'Data Mentah'!E16</f>
        <v>126</v>
      </c>
      <c r="D19" s="20">
        <f t="shared" si="0"/>
        <v>132.74901907303661</v>
      </c>
      <c r="E19" s="20">
        <f t="shared" si="1"/>
        <v>10.664601283335752</v>
      </c>
      <c r="F19" s="20">
        <f t="shared" si="2"/>
        <v>133.49891008115179</v>
      </c>
      <c r="G19" s="20">
        <f t="shared" si="3"/>
        <v>-7.4989100811517915</v>
      </c>
      <c r="H19" s="20">
        <f t="shared" si="4"/>
        <v>7.4989100811517915</v>
      </c>
      <c r="I19" s="21">
        <f t="shared" si="5"/>
        <v>56.233652405199969</v>
      </c>
      <c r="J19" s="21">
        <f t="shared" si="6"/>
        <v>5.951515937422057</v>
      </c>
    </row>
    <row r="20" spans="1:10" x14ac:dyDescent="0.35">
      <c r="A20" s="6">
        <v>12</v>
      </c>
      <c r="B20" s="19" t="str">
        <f>'Data Mentah'!B17</f>
        <v>20/03/2023</v>
      </c>
      <c r="C20" s="19">
        <f>'Data Mentah'!E17</f>
        <v>133</v>
      </c>
      <c r="D20" s="20">
        <f t="shared" si="0"/>
        <v>142.37225832073514</v>
      </c>
      <c r="E20" s="20">
        <f t="shared" si="1"/>
        <v>10.352192672644588</v>
      </c>
      <c r="F20" s="20">
        <f t="shared" si="2"/>
        <v>143.41362035637235</v>
      </c>
      <c r="G20" s="20">
        <f t="shared" si="3"/>
        <v>-10.413620356372348</v>
      </c>
      <c r="H20" s="20">
        <f t="shared" si="4"/>
        <v>10.413620356372348</v>
      </c>
      <c r="I20" s="21">
        <f t="shared" si="5"/>
        <v>108.44348892665256</v>
      </c>
      <c r="J20" s="21">
        <f t="shared" si="6"/>
        <v>7.8297897416333448</v>
      </c>
    </row>
    <row r="21" spans="1:10" x14ac:dyDescent="0.35">
      <c r="A21" s="6">
        <v>13</v>
      </c>
      <c r="B21" s="19" t="str">
        <f>'Data Mentah'!B18</f>
        <v>27/03/2023</v>
      </c>
      <c r="C21" s="19">
        <f>'Data Mentah'!E18</f>
        <v>139</v>
      </c>
      <c r="D21" s="20">
        <f t="shared" si="0"/>
        <v>151.35200589404175</v>
      </c>
      <c r="E21" s="20">
        <f t="shared" si="1"/>
        <v>9.9404591428431939</v>
      </c>
      <c r="F21" s="20">
        <f t="shared" si="2"/>
        <v>152.72445099337972</v>
      </c>
      <c r="G21" s="20">
        <f t="shared" si="3"/>
        <v>-13.724450993379719</v>
      </c>
      <c r="H21" s="20">
        <f t="shared" si="4"/>
        <v>13.724450993379719</v>
      </c>
      <c r="I21" s="21">
        <f t="shared" si="5"/>
        <v>188.36055506968157</v>
      </c>
      <c r="J21" s="21">
        <f t="shared" si="6"/>
        <v>9.873705750632892</v>
      </c>
    </row>
    <row r="22" spans="1:10" x14ac:dyDescent="0.35">
      <c r="A22" s="6">
        <v>14</v>
      </c>
      <c r="B22" s="19" t="str">
        <f>'Data Mentah'!B19</f>
        <v>03/04/2023</v>
      </c>
      <c r="C22" s="19">
        <f>'Data Mentah'!E19</f>
        <v>138</v>
      </c>
      <c r="D22" s="20">
        <f t="shared" si="0"/>
        <v>158.96321853319648</v>
      </c>
      <c r="E22" s="20">
        <f t="shared" si="1"/>
        <v>9.2416851917366536</v>
      </c>
      <c r="F22" s="20">
        <f t="shared" si="2"/>
        <v>161.29246503688495</v>
      </c>
      <c r="G22" s="20">
        <f t="shared" si="3"/>
        <v>-23.292465036884948</v>
      </c>
      <c r="H22" s="20">
        <f t="shared" si="4"/>
        <v>23.292465036884948</v>
      </c>
      <c r="I22" s="21">
        <f t="shared" si="5"/>
        <v>542.53892749450779</v>
      </c>
      <c r="J22" s="21">
        <f t="shared" si="6"/>
        <v>16.878597852815179</v>
      </c>
    </row>
    <row r="23" spans="1:10" x14ac:dyDescent="0.35">
      <c r="A23" s="6">
        <v>15</v>
      </c>
      <c r="B23" s="19" t="str">
        <f>'Data Mentah'!B20</f>
        <v>10/04/2023</v>
      </c>
      <c r="C23" s="19">
        <f>'Data Mentah'!E20</f>
        <v>131</v>
      </c>
      <c r="D23" s="20">
        <f t="shared" si="0"/>
        <v>164.48441335243982</v>
      </c>
      <c r="E23" s="20">
        <f t="shared" si="1"/>
        <v>8.1255380799886581</v>
      </c>
      <c r="F23" s="20">
        <f t="shared" si="2"/>
        <v>168.20490372493313</v>
      </c>
      <c r="G23" s="20">
        <f t="shared" si="3"/>
        <v>-37.204903724933132</v>
      </c>
      <c r="H23" s="20">
        <f t="shared" si="4"/>
        <v>37.204903724933132</v>
      </c>
      <c r="I23" s="21">
        <f t="shared" si="5"/>
        <v>1384.2048611815433</v>
      </c>
      <c r="J23" s="21">
        <f t="shared" si="6"/>
        <v>28.400689866361166</v>
      </c>
    </row>
    <row r="24" spans="1:10" x14ac:dyDescent="0.35">
      <c r="A24" s="6">
        <v>16</v>
      </c>
      <c r="B24" s="19" t="str">
        <f>'Data Mentah'!B21</f>
        <v>17/04/2023</v>
      </c>
      <c r="C24" s="19">
        <f>'Data Mentah'!E21</f>
        <v>130</v>
      </c>
      <c r="D24" s="20">
        <f t="shared" si="0"/>
        <v>168.34895628918565</v>
      </c>
      <c r="E24" s="20">
        <f t="shared" si="1"/>
        <v>6.8472395370158106</v>
      </c>
      <c r="F24" s="20">
        <f t="shared" si="2"/>
        <v>172.60995143242849</v>
      </c>
      <c r="G24" s="20">
        <f t="shared" si="3"/>
        <v>-42.609951432428488</v>
      </c>
      <c r="H24" s="20">
        <f t="shared" si="4"/>
        <v>42.609951432428488</v>
      </c>
      <c r="I24" s="21">
        <f t="shared" si="5"/>
        <v>1815.6079610739146</v>
      </c>
      <c r="J24" s="21">
        <f t="shared" si="6"/>
        <v>32.776885717252682</v>
      </c>
    </row>
    <row r="25" spans="1:10" x14ac:dyDescent="0.35">
      <c r="A25" s="6">
        <v>17</v>
      </c>
      <c r="B25" s="19" t="str">
        <f>'Data Mentah'!B22</f>
        <v>24/04/2023</v>
      </c>
      <c r="C25" s="19">
        <f>'Data Mentah'!E22</f>
        <v>129</v>
      </c>
      <c r="D25" s="20">
        <f t="shared" si="0"/>
        <v>170.57657624358131</v>
      </c>
      <c r="E25" s="20">
        <f t="shared" si="1"/>
        <v>5.461353662229766</v>
      </c>
      <c r="F25" s="20">
        <f t="shared" si="2"/>
        <v>175.19619582620146</v>
      </c>
      <c r="G25" s="20">
        <f t="shared" si="3"/>
        <v>-46.19619582620146</v>
      </c>
      <c r="H25" s="20">
        <f t="shared" si="4"/>
        <v>46.19619582620146</v>
      </c>
      <c r="I25" s="21">
        <f t="shared" si="5"/>
        <v>2134.0885088127534</v>
      </c>
      <c r="J25" s="21">
        <f t="shared" si="6"/>
        <v>35.81100451643524</v>
      </c>
    </row>
    <row r="26" spans="1:10" x14ac:dyDescent="0.35">
      <c r="A26" s="6">
        <v>18</v>
      </c>
      <c r="B26" s="19" t="str">
        <f>'Data Mentah'!B23</f>
        <v>01/05/2023</v>
      </c>
      <c r="C26" s="19">
        <f>'Data Mentah'!E23</f>
        <v>114</v>
      </c>
      <c r="D26" s="20">
        <f t="shared" si="0"/>
        <v>169.83413691522998</v>
      </c>
      <c r="E26" s="20">
        <f t="shared" si="1"/>
        <v>3.6002157650554345</v>
      </c>
      <c r="F26" s="20">
        <f t="shared" si="2"/>
        <v>176.03792990581107</v>
      </c>
      <c r="G26" s="20">
        <f t="shared" si="3"/>
        <v>-62.037929905811069</v>
      </c>
      <c r="H26" s="20">
        <f t="shared" si="4"/>
        <v>62.037929905811069</v>
      </c>
      <c r="I26" s="21">
        <f t="shared" si="5"/>
        <v>3848.7047469983272</v>
      </c>
      <c r="J26" s="21">
        <f t="shared" si="6"/>
        <v>54.41923675948339</v>
      </c>
    </row>
    <row r="27" spans="1:10" x14ac:dyDescent="0.35">
      <c r="A27" s="6">
        <v>19</v>
      </c>
      <c r="B27" s="19" t="str">
        <f>'Data Mentah'!B24</f>
        <v>08/05/2023</v>
      </c>
      <c r="C27" s="19">
        <f>'Data Mentah'!E24</f>
        <v>119</v>
      </c>
      <c r="D27" s="20">
        <f t="shared" si="0"/>
        <v>167.99091741225686</v>
      </c>
      <c r="E27" s="20">
        <f t="shared" si="1"/>
        <v>1.9671851846468702</v>
      </c>
      <c r="F27" s="20">
        <f t="shared" si="2"/>
        <v>173.4343526802854</v>
      </c>
      <c r="G27" s="20">
        <f t="shared" si="3"/>
        <v>-54.4343526802854</v>
      </c>
      <c r="H27" s="20">
        <f t="shared" si="4"/>
        <v>54.4343526802854</v>
      </c>
      <c r="I27" s="21">
        <f t="shared" si="5"/>
        <v>2963.0987517216945</v>
      </c>
      <c r="J27" s="21">
        <f t="shared" si="6"/>
        <v>45.743153512844877</v>
      </c>
    </row>
    <row r="28" spans="1:10" x14ac:dyDescent="0.35">
      <c r="A28" s="6">
        <v>20</v>
      </c>
      <c r="B28" s="19" t="str">
        <f>'Data Mentah'!B25</f>
        <v>15/05/2023</v>
      </c>
      <c r="C28" s="19">
        <f>'Data Mentah'!E25</f>
        <v>119</v>
      </c>
      <c r="D28" s="20">
        <f t="shared" si="0"/>
        <v>164.86229233721338</v>
      </c>
      <c r="E28" s="20">
        <f t="shared" si="1"/>
        <v>0.4384421067397628</v>
      </c>
      <c r="F28" s="20">
        <f t="shared" si="2"/>
        <v>169.95810259690373</v>
      </c>
      <c r="G28" s="20">
        <f t="shared" si="3"/>
        <v>-50.958102596903728</v>
      </c>
      <c r="H28" s="20">
        <f t="shared" si="4"/>
        <v>50.958102596903728</v>
      </c>
      <c r="I28" s="21">
        <f t="shared" si="5"/>
        <v>2596.7282202765664</v>
      </c>
      <c r="J28" s="21">
        <f t="shared" si="6"/>
        <v>42.821934955381288</v>
      </c>
    </row>
    <row r="29" spans="1:10" x14ac:dyDescent="0.35">
      <c r="A29" s="6">
        <v>21</v>
      </c>
      <c r="B29" s="19" t="str">
        <f>'Data Mentah'!B26</f>
        <v>22/05/2023</v>
      </c>
      <c r="C29" s="19">
        <f>'Data Mentah'!E26</f>
        <v>114</v>
      </c>
      <c r="D29" s="20">
        <f t="shared" si="0"/>
        <v>160.17066099955784</v>
      </c>
      <c r="E29" s="20">
        <f t="shared" si="1"/>
        <v>-1.1005799265788272</v>
      </c>
      <c r="F29" s="20">
        <f t="shared" si="2"/>
        <v>165.30073444395313</v>
      </c>
      <c r="G29" s="20">
        <f t="shared" si="3"/>
        <v>-51.300734443953132</v>
      </c>
      <c r="H29" s="20">
        <f t="shared" si="4"/>
        <v>51.300734443953132</v>
      </c>
      <c r="I29" s="21">
        <f t="shared" si="5"/>
        <v>2631.7653544889995</v>
      </c>
      <c r="J29" s="21">
        <f t="shared" si="6"/>
        <v>45.000644249081695</v>
      </c>
    </row>
    <row r="30" spans="1:10" x14ac:dyDescent="0.35">
      <c r="A30" s="6">
        <v>22</v>
      </c>
      <c r="B30" s="19" t="str">
        <f>'Data Mentah'!B27</f>
        <v>29/05/2023</v>
      </c>
      <c r="C30" s="19">
        <f>'Data Mentah'!E27</f>
        <v>121</v>
      </c>
      <c r="D30" s="20">
        <f t="shared" si="0"/>
        <v>155.26307296568112</v>
      </c>
      <c r="E30" s="20">
        <f t="shared" si="1"/>
        <v>-2.242682358768195</v>
      </c>
      <c r="F30" s="20">
        <f t="shared" si="2"/>
        <v>159.07008107297901</v>
      </c>
      <c r="G30" s="20">
        <f t="shared" si="3"/>
        <v>-38.070081072979008</v>
      </c>
      <c r="H30" s="20">
        <f t="shared" si="4"/>
        <v>38.070081072979008</v>
      </c>
      <c r="I30" s="21">
        <f t="shared" si="5"/>
        <v>1449.3310729031946</v>
      </c>
      <c r="J30" s="21">
        <f t="shared" si="6"/>
        <v>31.462876919817361</v>
      </c>
    </row>
    <row r="31" spans="1:10" x14ac:dyDescent="0.35">
      <c r="A31" s="6">
        <v>23</v>
      </c>
      <c r="B31" s="19" t="str">
        <f>'Data Mentah'!B28</f>
        <v>05/06/2023</v>
      </c>
      <c r="C31" s="19">
        <f>'Data Mentah'!E28</f>
        <v>122</v>
      </c>
      <c r="D31" s="20">
        <f t="shared" si="0"/>
        <v>149.9183515462216</v>
      </c>
      <c r="E31" s="20">
        <f t="shared" si="1"/>
        <v>-3.1732940769755915</v>
      </c>
      <c r="F31" s="20">
        <f t="shared" si="2"/>
        <v>153.02039060691291</v>
      </c>
      <c r="G31" s="20">
        <f t="shared" si="3"/>
        <v>-31.020390606912912</v>
      </c>
      <c r="H31" s="20">
        <f t="shared" si="4"/>
        <v>31.020390606912912</v>
      </c>
      <c r="I31" s="21">
        <f t="shared" si="5"/>
        <v>962.26463340545081</v>
      </c>
      <c r="J31" s="21">
        <f t="shared" si="6"/>
        <v>25.426549677797468</v>
      </c>
    </row>
    <row r="32" spans="1:10" x14ac:dyDescent="0.35">
      <c r="A32" s="6">
        <v>24</v>
      </c>
      <c r="B32" s="19" t="str">
        <f>'Data Mentah'!B29</f>
        <v>12/06/2023</v>
      </c>
      <c r="C32" s="19">
        <f>'Data Mentah'!E29</f>
        <v>126</v>
      </c>
      <c r="D32" s="20">
        <f t="shared" si="0"/>
        <v>144.67055172232139</v>
      </c>
      <c r="E32" s="20">
        <f t="shared" si="1"/>
        <v>-3.7956458010529763</v>
      </c>
      <c r="F32" s="20">
        <f t="shared" si="2"/>
        <v>146.74505746924601</v>
      </c>
      <c r="G32" s="20">
        <f t="shared" si="3"/>
        <v>-20.745057469246007</v>
      </c>
      <c r="H32" s="20">
        <f t="shared" si="4"/>
        <v>20.745057469246007</v>
      </c>
      <c r="I32" s="21">
        <f t="shared" si="5"/>
        <v>430.35740940231955</v>
      </c>
      <c r="J32" s="21">
        <f t="shared" si="6"/>
        <v>16.464331324798419</v>
      </c>
    </row>
    <row r="33" spans="1:10" x14ac:dyDescent="0.35">
      <c r="A33" s="6">
        <v>25</v>
      </c>
      <c r="B33" s="19" t="str">
        <f>'Data Mentah'!B30</f>
        <v>19/06/2023</v>
      </c>
      <c r="C33" s="19">
        <f>'Data Mentah'!E30</f>
        <v>126</v>
      </c>
      <c r="D33" s="20">
        <f t="shared" si="0"/>
        <v>139.38741532914156</v>
      </c>
      <c r="E33" s="20">
        <f t="shared" si="1"/>
        <v>-4.2418929786910322</v>
      </c>
      <c r="F33" s="20">
        <f t="shared" si="2"/>
        <v>140.87490592126841</v>
      </c>
      <c r="G33" s="20">
        <f t="shared" si="3"/>
        <v>-14.874905921268407</v>
      </c>
      <c r="H33" s="20">
        <f t="shared" si="4"/>
        <v>14.874905921268407</v>
      </c>
      <c r="I33" s="21">
        <f t="shared" si="5"/>
        <v>221.26282616658594</v>
      </c>
      <c r="J33" s="21">
        <f t="shared" si="6"/>
        <v>11.805480889895561</v>
      </c>
    </row>
    <row r="34" spans="1:10" x14ac:dyDescent="0.35">
      <c r="A34" s="6">
        <v>26</v>
      </c>
      <c r="B34" s="19" t="str">
        <f>'Data Mentah'!B31</f>
        <v>26/06/2023</v>
      </c>
      <c r="C34" s="19">
        <f>'Data Mentah'!E31</f>
        <v>134</v>
      </c>
      <c r="D34" s="20">
        <f t="shared" si="0"/>
        <v>135.03097011540549</v>
      </c>
      <c r="E34" s="20">
        <f t="shared" si="1"/>
        <v>-4.276258649204542</v>
      </c>
      <c r="F34" s="20">
        <f t="shared" si="2"/>
        <v>135.14552235045053</v>
      </c>
      <c r="G34" s="20">
        <f t="shared" si="3"/>
        <v>-1.1455223504505341</v>
      </c>
      <c r="H34" s="20">
        <f t="shared" si="4"/>
        <v>1.1455223504505341</v>
      </c>
      <c r="I34" s="21">
        <f t="shared" si="5"/>
        <v>1.3122214553817162</v>
      </c>
      <c r="J34" s="21">
        <f t="shared" si="6"/>
        <v>0.85486742570935381</v>
      </c>
    </row>
    <row r="35" spans="1:10" x14ac:dyDescent="0.35">
      <c r="A35" s="6">
        <v>27</v>
      </c>
      <c r="B35" s="19" t="str">
        <f>'Data Mentah'!B32</f>
        <v>03/07/2023</v>
      </c>
      <c r="C35" s="19">
        <f>'Data Mentah'!E32</f>
        <v>126</v>
      </c>
      <c r="D35" s="20">
        <f t="shared" si="0"/>
        <v>130.27924031958085</v>
      </c>
      <c r="E35" s="20">
        <f t="shared" si="1"/>
        <v>-4.4188999931905721</v>
      </c>
      <c r="F35" s="20">
        <f t="shared" si="2"/>
        <v>130.75471146620094</v>
      </c>
      <c r="G35" s="20">
        <f t="shared" si="3"/>
        <v>-4.7547114662009449</v>
      </c>
      <c r="H35" s="20">
        <f t="shared" si="4"/>
        <v>4.7547114662009449</v>
      </c>
      <c r="I35" s="21">
        <f t="shared" si="5"/>
        <v>22.607281126822738</v>
      </c>
      <c r="J35" s="21">
        <f t="shared" si="6"/>
        <v>3.7735805287309083</v>
      </c>
    </row>
    <row r="36" spans="1:10" x14ac:dyDescent="0.35">
      <c r="A36" s="6">
        <v>28</v>
      </c>
      <c r="B36" s="19" t="str">
        <f>'Data Mentah'!B33</f>
        <v>10/07/2023</v>
      </c>
      <c r="C36" s="19">
        <f>'Data Mentah'!E33</f>
        <v>118</v>
      </c>
      <c r="D36" s="20">
        <f t="shared" si="0"/>
        <v>125.07430629375125</v>
      </c>
      <c r="E36" s="20">
        <f t="shared" si="1"/>
        <v>-4.6547102029822804</v>
      </c>
      <c r="F36" s="20">
        <f t="shared" si="2"/>
        <v>125.86034032639027</v>
      </c>
      <c r="G36" s="20">
        <f t="shared" si="3"/>
        <v>-7.860340326390272</v>
      </c>
      <c r="H36" s="20">
        <f t="shared" si="4"/>
        <v>7.860340326390272</v>
      </c>
      <c r="I36" s="21">
        <f t="shared" si="5"/>
        <v>61.784950046677125</v>
      </c>
      <c r="J36" s="21">
        <f t="shared" si="6"/>
        <v>6.6613053613476882</v>
      </c>
    </row>
    <row r="37" spans="1:10" x14ac:dyDescent="0.35">
      <c r="A37" s="6">
        <v>29</v>
      </c>
      <c r="B37" s="19" t="str">
        <f>'Data Mentah'!B34</f>
        <v>17/07/2023</v>
      </c>
      <c r="C37" s="19">
        <f>'Data Mentah'!E34</f>
        <v>124</v>
      </c>
      <c r="D37" s="20">
        <f t="shared" si="0"/>
        <v>120.77763648169207</v>
      </c>
      <c r="E37" s="20">
        <f t="shared" si="1"/>
        <v>-4.54729808570535</v>
      </c>
      <c r="F37" s="20">
        <f t="shared" si="2"/>
        <v>120.41959609076896</v>
      </c>
      <c r="G37" s="20">
        <f t="shared" si="3"/>
        <v>3.5804039092310376</v>
      </c>
      <c r="H37" s="20">
        <f t="shared" si="4"/>
        <v>3.5804039092310376</v>
      </c>
      <c r="I37" s="21">
        <f t="shared" si="5"/>
        <v>12.819292153236896</v>
      </c>
      <c r="J37" s="21">
        <f t="shared" si="6"/>
        <v>2.8874225074443851</v>
      </c>
    </row>
    <row r="38" spans="1:10" x14ac:dyDescent="0.35">
      <c r="A38" s="6">
        <v>30</v>
      </c>
      <c r="B38" s="19" t="str">
        <f>'Data Mentah'!B35</f>
        <v>24/07/2023</v>
      </c>
      <c r="C38" s="19">
        <f>'Data Mentah'!E35</f>
        <v>118</v>
      </c>
      <c r="D38" s="20">
        <f t="shared" si="0"/>
        <v>116.40730455638804</v>
      </c>
      <c r="E38" s="20">
        <f t="shared" si="1"/>
        <v>-4.494208237584953</v>
      </c>
      <c r="F38" s="20">
        <f t="shared" si="2"/>
        <v>116.23033839598672</v>
      </c>
      <c r="G38" s="20">
        <f t="shared" si="3"/>
        <v>1.7696616040132795</v>
      </c>
      <c r="H38" s="20">
        <f t="shared" si="4"/>
        <v>1.7696616040132795</v>
      </c>
      <c r="I38" s="21">
        <f t="shared" si="5"/>
        <v>3.1317021927188535</v>
      </c>
      <c r="J38" s="21">
        <f t="shared" si="6"/>
        <v>1.4997132237400674</v>
      </c>
    </row>
    <row r="39" spans="1:10" x14ac:dyDescent="0.35">
      <c r="A39" s="6">
        <v>31</v>
      </c>
      <c r="B39" s="19" t="str">
        <f>'Data Mentah'!B36</f>
        <v>31/07/2023</v>
      </c>
      <c r="C39" s="19">
        <f>'Data Mentah'!E36</f>
        <v>123</v>
      </c>
      <c r="D39" s="20">
        <f t="shared" si="0"/>
        <v>113.02178668692278</v>
      </c>
      <c r="E39" s="20">
        <f t="shared" si="1"/>
        <v>-4.1616011271490452</v>
      </c>
      <c r="F39" s="20">
        <f t="shared" si="2"/>
        <v>111.91309631880308</v>
      </c>
      <c r="G39" s="20">
        <f t="shared" si="3"/>
        <v>11.086903681196915</v>
      </c>
      <c r="H39" s="20">
        <f t="shared" si="4"/>
        <v>11.086903681196915</v>
      </c>
      <c r="I39" s="21">
        <f t="shared" si="5"/>
        <v>122.91943323613771</v>
      </c>
      <c r="J39" s="21">
        <f t="shared" si="6"/>
        <v>9.0137428302413944</v>
      </c>
    </row>
    <row r="40" spans="1:10" x14ac:dyDescent="0.35">
      <c r="A40" s="6">
        <v>32</v>
      </c>
      <c r="B40" s="19" t="str">
        <f>'Data Mentah'!B37</f>
        <v>07/08/2023</v>
      </c>
      <c r="C40" s="19">
        <f>'Data Mentah'!E37</f>
        <v>123</v>
      </c>
      <c r="D40" s="20">
        <f t="shared" si="0"/>
        <v>110.27416700379636</v>
      </c>
      <c r="E40" s="20">
        <f t="shared" si="1"/>
        <v>-3.7374066939422561</v>
      </c>
      <c r="F40" s="20">
        <f t="shared" si="2"/>
        <v>108.86018555977374</v>
      </c>
      <c r="G40" s="20">
        <f t="shared" si="3"/>
        <v>14.13981444022626</v>
      </c>
      <c r="H40" s="20">
        <f t="shared" si="4"/>
        <v>14.13981444022626</v>
      </c>
      <c r="I40" s="21">
        <f t="shared" si="5"/>
        <v>199.93435240403107</v>
      </c>
      <c r="J40" s="21">
        <f t="shared" si="6"/>
        <v>11.495784097744927</v>
      </c>
    </row>
    <row r="41" spans="1:10" x14ac:dyDescent="0.35">
      <c r="A41" s="6">
        <v>33</v>
      </c>
      <c r="B41" s="19" t="str">
        <f>'Data Mentah'!B38</f>
        <v>14/08/2023</v>
      </c>
      <c r="C41" s="19">
        <f>'Data Mentah'!E38</f>
        <v>122</v>
      </c>
      <c r="D41" s="20">
        <f t="shared" ref="D41:D72" si="7">$E$4*C41+(1-$E$4)*(D40+E40)</f>
        <v>108.0830842788687</v>
      </c>
      <c r="E41" s="20">
        <f t="shared" ref="E41:E72" si="8">$H$4*(D41-D40)+(1-$H$4)*E40</f>
        <v>-3.2735095032378791</v>
      </c>
      <c r="F41" s="20">
        <f t="shared" ref="F41:F72" si="9">D40+E40</f>
        <v>106.5367603098541</v>
      </c>
      <c r="G41" s="20">
        <f t="shared" ref="G41:G72" si="10">C41-F41</f>
        <v>15.463239690145897</v>
      </c>
      <c r="H41" s="20">
        <f t="shared" ref="H41:H72" si="11">ABS(G41)</f>
        <v>15.463239690145897</v>
      </c>
      <c r="I41" s="21">
        <f t="shared" ref="I41:I72" si="12">G41^2</f>
        <v>239.1117817149034</v>
      </c>
      <c r="J41" s="21">
        <f t="shared" ref="J41:J72" si="13">ABS(G41/C41)*100</f>
        <v>12.674786631267128</v>
      </c>
    </row>
    <row r="42" spans="1:10" x14ac:dyDescent="0.35">
      <c r="A42" s="6">
        <v>34</v>
      </c>
      <c r="B42" s="19" t="str">
        <f>'Data Mentah'!B39</f>
        <v>21/08/2023</v>
      </c>
      <c r="C42" s="19">
        <f>'Data Mentah'!E39</f>
        <v>123</v>
      </c>
      <c r="D42" s="20">
        <f t="shared" si="7"/>
        <v>106.62861729806774</v>
      </c>
      <c r="E42" s="20">
        <f t="shared" si="8"/>
        <v>-2.7277967465068027</v>
      </c>
      <c r="F42" s="20">
        <f t="shared" si="9"/>
        <v>104.80957477563082</v>
      </c>
      <c r="G42" s="20">
        <f t="shared" si="10"/>
        <v>18.190425224369179</v>
      </c>
      <c r="H42" s="20">
        <f t="shared" si="11"/>
        <v>18.190425224369179</v>
      </c>
      <c r="I42" s="21">
        <f t="shared" si="12"/>
        <v>330.89156984336648</v>
      </c>
      <c r="J42" s="21">
        <f t="shared" si="13"/>
        <v>14.788963597048113</v>
      </c>
    </row>
    <row r="43" spans="1:10" x14ac:dyDescent="0.35">
      <c r="A43" s="6">
        <v>35</v>
      </c>
      <c r="B43" s="19" t="str">
        <f>'Data Mentah'!B40</f>
        <v>28/08/2023</v>
      </c>
      <c r="C43" s="19">
        <f>'Data Mentah'!E40</f>
        <v>118</v>
      </c>
      <c r="D43" s="20">
        <f t="shared" si="7"/>
        <v>105.31073849640485</v>
      </c>
      <c r="E43" s="20">
        <f t="shared" si="8"/>
        <v>-2.3048213630536276</v>
      </c>
      <c r="F43" s="20">
        <f t="shared" si="9"/>
        <v>103.90082055156094</v>
      </c>
      <c r="G43" s="20">
        <f t="shared" si="10"/>
        <v>14.09917944843906</v>
      </c>
      <c r="H43" s="20">
        <f t="shared" si="11"/>
        <v>14.09917944843906</v>
      </c>
      <c r="I43" s="21">
        <f t="shared" si="12"/>
        <v>198.78686111928636</v>
      </c>
      <c r="J43" s="21">
        <f t="shared" si="13"/>
        <v>11.948457159694119</v>
      </c>
    </row>
    <row r="44" spans="1:10" x14ac:dyDescent="0.35">
      <c r="A44" s="6">
        <v>36</v>
      </c>
      <c r="B44" s="19" t="str">
        <f>'Data Mentah'!B41</f>
        <v>04/09/2023</v>
      </c>
      <c r="C44" s="19">
        <f>'Data Mentah'!E41</f>
        <v>115</v>
      </c>
      <c r="D44" s="20">
        <f t="shared" si="7"/>
        <v>104.20532542001609</v>
      </c>
      <c r="E44" s="20">
        <f t="shared" si="8"/>
        <v>-1.9449988770541664</v>
      </c>
      <c r="F44" s="20">
        <f t="shared" si="9"/>
        <v>103.00591713335122</v>
      </c>
      <c r="G44" s="20">
        <f t="shared" si="10"/>
        <v>11.994082866648782</v>
      </c>
      <c r="H44" s="20">
        <f t="shared" si="11"/>
        <v>11.994082866648782</v>
      </c>
      <c r="I44" s="21">
        <f t="shared" si="12"/>
        <v>143.85802381203786</v>
      </c>
      <c r="J44" s="21">
        <f t="shared" si="13"/>
        <v>10.429637275346765</v>
      </c>
    </row>
    <row r="45" spans="1:10" x14ac:dyDescent="0.35">
      <c r="A45" s="6">
        <v>37</v>
      </c>
      <c r="B45" s="19" t="str">
        <f>'Data Mentah'!B42</f>
        <v>11/09/2023</v>
      </c>
      <c r="C45" s="19">
        <f>'Data Mentah'!E42</f>
        <v>112</v>
      </c>
      <c r="D45" s="20">
        <f t="shared" si="7"/>
        <v>103.23429388866575</v>
      </c>
      <c r="E45" s="20">
        <f t="shared" si="8"/>
        <v>-1.6528086733430212</v>
      </c>
      <c r="F45" s="20">
        <f t="shared" si="9"/>
        <v>102.26032654296193</v>
      </c>
      <c r="G45" s="20">
        <f t="shared" si="10"/>
        <v>9.7396734570380659</v>
      </c>
      <c r="H45" s="20">
        <f t="shared" si="11"/>
        <v>9.7396734570380659</v>
      </c>
      <c r="I45" s="21">
        <f t="shared" si="12"/>
        <v>94.861239049731836</v>
      </c>
      <c r="J45" s="21">
        <f t="shared" si="13"/>
        <v>8.6961370152125586</v>
      </c>
    </row>
    <row r="46" spans="1:10" x14ac:dyDescent="0.35">
      <c r="A46" s="6">
        <v>38</v>
      </c>
      <c r="B46" s="19" t="str">
        <f>'Data Mentah'!B43</f>
        <v>18/09/2023</v>
      </c>
      <c r="C46" s="19">
        <f>'Data Mentah'!E43</f>
        <v>110</v>
      </c>
      <c r="D46" s="20">
        <f t="shared" si="7"/>
        <v>102.42333669379046</v>
      </c>
      <c r="E46" s="20">
        <f t="shared" si="8"/>
        <v>-1.4002532298027004</v>
      </c>
      <c r="F46" s="20">
        <f t="shared" si="9"/>
        <v>101.58148521532273</v>
      </c>
      <c r="G46" s="20">
        <f t="shared" si="10"/>
        <v>8.4185147846772708</v>
      </c>
      <c r="H46" s="20">
        <f t="shared" si="11"/>
        <v>8.4185147846772708</v>
      </c>
      <c r="I46" s="21">
        <f t="shared" si="12"/>
        <v>70.8713911798298</v>
      </c>
      <c r="J46" s="21">
        <f t="shared" si="13"/>
        <v>7.6531952587975187</v>
      </c>
    </row>
    <row r="47" spans="1:10" x14ac:dyDescent="0.35">
      <c r="A47" s="6">
        <v>39</v>
      </c>
      <c r="B47" s="19" t="str">
        <f>'Data Mentah'!B44</f>
        <v>25/09/2023</v>
      </c>
      <c r="C47" s="19">
        <f>'Data Mentah'!E44</f>
        <v>105</v>
      </c>
      <c r="D47" s="20">
        <f t="shared" si="7"/>
        <v>101.42077511758899</v>
      </c>
      <c r="E47" s="20">
        <f t="shared" si="8"/>
        <v>-1.2809457337223318</v>
      </c>
      <c r="F47" s="20">
        <f t="shared" si="9"/>
        <v>101.02308346398776</v>
      </c>
      <c r="G47" s="20">
        <f t="shared" si="10"/>
        <v>3.97691653601224</v>
      </c>
      <c r="H47" s="20">
        <f t="shared" si="11"/>
        <v>3.97691653601224</v>
      </c>
      <c r="I47" s="21">
        <f t="shared" si="12"/>
        <v>15.815865134407595</v>
      </c>
      <c r="J47" s="21">
        <f t="shared" si="13"/>
        <v>3.7875395581068956</v>
      </c>
    </row>
    <row r="48" spans="1:10" x14ac:dyDescent="0.35">
      <c r="A48" s="6">
        <v>40</v>
      </c>
      <c r="B48" s="19" t="str">
        <f>'Data Mentah'!B45</f>
        <v>02/10/2023</v>
      </c>
      <c r="C48" s="19">
        <f>'Data Mentah'!E45</f>
        <v>106</v>
      </c>
      <c r="D48" s="20">
        <f t="shared" si="7"/>
        <v>100.72584644547999</v>
      </c>
      <c r="E48" s="20">
        <f t="shared" si="8"/>
        <v>-1.1051406152383323</v>
      </c>
      <c r="F48" s="20">
        <f t="shared" si="9"/>
        <v>100.13982938386665</v>
      </c>
      <c r="G48" s="20">
        <f t="shared" si="10"/>
        <v>5.8601706161333453</v>
      </c>
      <c r="H48" s="20">
        <f t="shared" si="11"/>
        <v>5.8601706161333453</v>
      </c>
      <c r="I48" s="21">
        <f t="shared" si="12"/>
        <v>34.34159965019267</v>
      </c>
      <c r="J48" s="21">
        <f t="shared" si="13"/>
        <v>5.5284628454088169</v>
      </c>
    </row>
    <row r="49" spans="1:10" x14ac:dyDescent="0.35">
      <c r="A49" s="6">
        <v>41</v>
      </c>
      <c r="B49" s="19" t="str">
        <f>'Data Mentah'!B46</f>
        <v>09/10/2023</v>
      </c>
      <c r="C49" s="19">
        <f>'Data Mentah'!E46</f>
        <v>109</v>
      </c>
      <c r="D49" s="20">
        <f t="shared" si="7"/>
        <v>100.55863524721751</v>
      </c>
      <c r="E49" s="20">
        <f t="shared" si="8"/>
        <v>-0.82376179014557604</v>
      </c>
      <c r="F49" s="20">
        <f t="shared" si="9"/>
        <v>99.620705830241661</v>
      </c>
      <c r="G49" s="20">
        <f t="shared" si="10"/>
        <v>9.3792941697583387</v>
      </c>
      <c r="H49" s="20">
        <f t="shared" si="11"/>
        <v>9.3792941697583387</v>
      </c>
      <c r="I49" s="21">
        <f t="shared" si="12"/>
        <v>87.971159122862758</v>
      </c>
      <c r="J49" s="21">
        <f t="shared" si="13"/>
        <v>8.6048570364755399</v>
      </c>
    </row>
    <row r="50" spans="1:10" x14ac:dyDescent="0.35">
      <c r="A50" s="6">
        <v>42</v>
      </c>
      <c r="B50" s="19" t="str">
        <f>'Data Mentah'!B47</f>
        <v>16/10/2023</v>
      </c>
      <c r="C50" s="19">
        <f>'Data Mentah'!E47</f>
        <v>106</v>
      </c>
      <c r="D50" s="20">
        <f t="shared" si="7"/>
        <v>100.36138611136474</v>
      </c>
      <c r="E50" s="20">
        <f t="shared" si="8"/>
        <v>-0.63580799385773479</v>
      </c>
      <c r="F50" s="20">
        <f t="shared" si="9"/>
        <v>99.734873457071927</v>
      </c>
      <c r="G50" s="20">
        <f t="shared" si="10"/>
        <v>6.2651265429280727</v>
      </c>
      <c r="H50" s="20">
        <f t="shared" si="11"/>
        <v>6.2651265429280727</v>
      </c>
      <c r="I50" s="21">
        <f t="shared" si="12"/>
        <v>39.251810598901862</v>
      </c>
      <c r="J50" s="21">
        <f t="shared" si="13"/>
        <v>5.9104967386113891</v>
      </c>
    </row>
    <row r="51" spans="1:10" x14ac:dyDescent="0.35">
      <c r="A51" s="6">
        <v>43</v>
      </c>
      <c r="B51" s="19" t="str">
        <f>'Data Mentah'!B48</f>
        <v>23/10/2023</v>
      </c>
      <c r="C51" s="19">
        <f>'Data Mentah'!E48</f>
        <v>107</v>
      </c>
      <c r="D51" s="20">
        <f t="shared" si="7"/>
        <v>100.4530203057563</v>
      </c>
      <c r="E51" s="20">
        <f t="shared" si="8"/>
        <v>-0.41757533738294639</v>
      </c>
      <c r="F51" s="20">
        <f t="shared" si="9"/>
        <v>99.725578117506998</v>
      </c>
      <c r="G51" s="20">
        <f t="shared" si="10"/>
        <v>7.2744218824930016</v>
      </c>
      <c r="H51" s="20">
        <f t="shared" si="11"/>
        <v>7.2744218824930016</v>
      </c>
      <c r="I51" s="21">
        <f t="shared" si="12"/>
        <v>52.917213724493024</v>
      </c>
      <c r="J51" s="21">
        <f t="shared" si="13"/>
        <v>6.7985251238252342</v>
      </c>
    </row>
    <row r="52" spans="1:10" x14ac:dyDescent="0.35">
      <c r="A52" s="6">
        <v>44</v>
      </c>
      <c r="B52" s="19" t="str">
        <f>'Data Mentah'!B49</f>
        <v>30/10/2023</v>
      </c>
      <c r="C52" s="19">
        <f>'Data Mentah'!E49</f>
        <v>114</v>
      </c>
      <c r="D52" s="20">
        <f t="shared" si="7"/>
        <v>101.43190047153603</v>
      </c>
      <c r="E52" s="20">
        <f t="shared" si="8"/>
        <v>1.3613135658558928E-3</v>
      </c>
      <c r="F52" s="20">
        <f t="shared" si="9"/>
        <v>100.03544496837335</v>
      </c>
      <c r="G52" s="20">
        <f t="shared" si="10"/>
        <v>13.964555031626645</v>
      </c>
      <c r="H52" s="20">
        <f t="shared" si="11"/>
        <v>13.964555031626645</v>
      </c>
      <c r="I52" s="21">
        <f t="shared" si="12"/>
        <v>195.00879723132905</v>
      </c>
      <c r="J52" s="21">
        <f t="shared" si="13"/>
        <v>12.249609676865477</v>
      </c>
    </row>
    <row r="53" spans="1:10" x14ac:dyDescent="0.35">
      <c r="A53" s="6">
        <v>45</v>
      </c>
      <c r="B53" s="19" t="str">
        <f>'Data Mentah'!B50</f>
        <v>06/11/2023</v>
      </c>
      <c r="C53" s="19">
        <f>'Data Mentah'!E50</f>
        <v>105</v>
      </c>
      <c r="D53" s="20">
        <f t="shared" si="7"/>
        <v>101.7899356065917</v>
      </c>
      <c r="E53" s="20">
        <f t="shared" si="8"/>
        <v>0.10836346001280088</v>
      </c>
      <c r="F53" s="20">
        <f t="shared" si="9"/>
        <v>101.43326178510188</v>
      </c>
      <c r="G53" s="20">
        <f t="shared" si="10"/>
        <v>3.5667382148981233</v>
      </c>
      <c r="H53" s="20">
        <f t="shared" si="11"/>
        <v>3.5667382148981233</v>
      </c>
      <c r="I53" s="21">
        <f t="shared" si="12"/>
        <v>12.72162149361465</v>
      </c>
      <c r="J53" s="21">
        <f t="shared" si="13"/>
        <v>3.3968935379982126</v>
      </c>
    </row>
    <row r="54" spans="1:10" x14ac:dyDescent="0.35">
      <c r="A54" s="6">
        <v>46</v>
      </c>
      <c r="B54" s="19" t="str">
        <f>'Data Mentah'!B51</f>
        <v>13/11/2023</v>
      </c>
      <c r="C54" s="19">
        <f>'Data Mentah'!E51</f>
        <v>117</v>
      </c>
      <c r="D54" s="20">
        <f t="shared" si="7"/>
        <v>103.40846915994405</v>
      </c>
      <c r="E54" s="20">
        <f t="shared" si="8"/>
        <v>0.56141448801466554</v>
      </c>
      <c r="F54" s="20">
        <f t="shared" si="9"/>
        <v>101.89829906660449</v>
      </c>
      <c r="G54" s="20">
        <f t="shared" si="10"/>
        <v>15.101700933395506</v>
      </c>
      <c r="H54" s="20">
        <f t="shared" si="11"/>
        <v>15.101700933395506</v>
      </c>
      <c r="I54" s="21">
        <f t="shared" si="12"/>
        <v>228.0613710817187</v>
      </c>
      <c r="J54" s="21">
        <f t="shared" si="13"/>
        <v>12.907436695209833</v>
      </c>
    </row>
    <row r="55" spans="1:10" x14ac:dyDescent="0.35">
      <c r="A55" s="6">
        <v>47</v>
      </c>
      <c r="B55" s="19" t="str">
        <f>'Data Mentah'!B52</f>
        <v>20/11/2023</v>
      </c>
      <c r="C55" s="19">
        <f>'Data Mentah'!E52</f>
        <v>116</v>
      </c>
      <c r="D55" s="20">
        <f t="shared" si="7"/>
        <v>105.17289528316283</v>
      </c>
      <c r="E55" s="20">
        <f t="shared" si="8"/>
        <v>0.92231797857590081</v>
      </c>
      <c r="F55" s="20">
        <f t="shared" si="9"/>
        <v>103.96988364795871</v>
      </c>
      <c r="G55" s="20">
        <f t="shared" si="10"/>
        <v>12.03011635204129</v>
      </c>
      <c r="H55" s="20">
        <f t="shared" si="11"/>
        <v>12.03011635204129</v>
      </c>
      <c r="I55" s="21">
        <f t="shared" si="12"/>
        <v>144.72369944365124</v>
      </c>
      <c r="J55" s="21">
        <f t="shared" si="13"/>
        <v>10.370789958656285</v>
      </c>
    </row>
    <row r="56" spans="1:10" x14ac:dyDescent="0.35">
      <c r="A56" s="6">
        <v>48</v>
      </c>
      <c r="B56" s="19" t="str">
        <f>'Data Mentah'!B53</f>
        <v>27/11/2023</v>
      </c>
      <c r="C56" s="19">
        <f>'Data Mentah'!E53</f>
        <v>109</v>
      </c>
      <c r="D56" s="20">
        <f t="shared" si="7"/>
        <v>106.38569193556486</v>
      </c>
      <c r="E56" s="20">
        <f t="shared" si="8"/>
        <v>1.0094615807237406</v>
      </c>
      <c r="F56" s="20">
        <f t="shared" si="9"/>
        <v>106.09521326173873</v>
      </c>
      <c r="G56" s="20">
        <f t="shared" si="10"/>
        <v>2.9047867382612651</v>
      </c>
      <c r="H56" s="20">
        <f t="shared" si="11"/>
        <v>2.9047867382612651</v>
      </c>
      <c r="I56" s="21">
        <f t="shared" si="12"/>
        <v>8.437785994778519</v>
      </c>
      <c r="J56" s="21">
        <f t="shared" si="13"/>
        <v>2.6649419617075827</v>
      </c>
    </row>
    <row r="57" spans="1:10" x14ac:dyDescent="0.35">
      <c r="A57" s="6">
        <v>49</v>
      </c>
      <c r="B57" s="19" t="str">
        <f>'Data Mentah'!B54</f>
        <v>04/12/2023</v>
      </c>
      <c r="C57" s="19">
        <f>'Data Mentah'!E54</f>
        <v>113</v>
      </c>
      <c r="D57" s="20">
        <f t="shared" si="7"/>
        <v>107.95563816465975</v>
      </c>
      <c r="E57" s="20">
        <f t="shared" si="8"/>
        <v>1.1776069752350828</v>
      </c>
      <c r="F57" s="20">
        <f t="shared" si="9"/>
        <v>107.3951535162886</v>
      </c>
      <c r="G57" s="20">
        <f t="shared" si="10"/>
        <v>5.6048464837113983</v>
      </c>
      <c r="H57" s="20">
        <f t="shared" si="11"/>
        <v>5.6048464837113983</v>
      </c>
      <c r="I57" s="21">
        <f t="shared" si="12"/>
        <v>31.414304105972025</v>
      </c>
      <c r="J57" s="21">
        <f t="shared" si="13"/>
        <v>4.9600411360277858</v>
      </c>
    </row>
    <row r="58" spans="1:10" x14ac:dyDescent="0.35">
      <c r="A58" s="6">
        <v>50</v>
      </c>
      <c r="B58" s="19" t="str">
        <f>'Data Mentah'!B55</f>
        <v>11/12/2023</v>
      </c>
      <c r="C58" s="19">
        <f>'Data Mentah'!E55</f>
        <v>100</v>
      </c>
      <c r="D58" s="20">
        <f t="shared" si="7"/>
        <v>108.21992062590535</v>
      </c>
      <c r="E58" s="20">
        <f t="shared" si="8"/>
        <v>0.90360962103823783</v>
      </c>
      <c r="F58" s="20">
        <f t="shared" si="9"/>
        <v>109.13324513989483</v>
      </c>
      <c r="G58" s="20">
        <f t="shared" si="10"/>
        <v>-9.1332451398948251</v>
      </c>
      <c r="H58" s="20">
        <f t="shared" si="11"/>
        <v>9.1332451398948251</v>
      </c>
      <c r="I58" s="21">
        <f t="shared" si="12"/>
        <v>83.416166785412443</v>
      </c>
      <c r="J58" s="21">
        <f t="shared" si="13"/>
        <v>9.1332451398948251</v>
      </c>
    </row>
    <row r="59" spans="1:10" x14ac:dyDescent="0.35">
      <c r="A59" s="6">
        <v>51</v>
      </c>
      <c r="B59" s="19" t="str">
        <f>'Data Mentah'!B56</f>
        <v>18/12/2023</v>
      </c>
      <c r="C59" s="19">
        <f>'Data Mentah'!E56</f>
        <v>104</v>
      </c>
      <c r="D59" s="20">
        <f t="shared" si="7"/>
        <v>108.61117722224924</v>
      </c>
      <c r="E59" s="20">
        <f t="shared" si="8"/>
        <v>0.74990371362993458</v>
      </c>
      <c r="F59" s="20">
        <f t="shared" si="9"/>
        <v>109.12353024694359</v>
      </c>
      <c r="G59" s="20">
        <f t="shared" si="10"/>
        <v>-5.1235302469435879</v>
      </c>
      <c r="H59" s="20">
        <f t="shared" si="11"/>
        <v>5.1235302469435879</v>
      </c>
      <c r="I59" s="21">
        <f t="shared" si="12"/>
        <v>26.250562191345825</v>
      </c>
      <c r="J59" s="21">
        <f t="shared" si="13"/>
        <v>4.926471391291912</v>
      </c>
    </row>
    <row r="60" spans="1:10" x14ac:dyDescent="0.35">
      <c r="A60" s="6">
        <v>52</v>
      </c>
      <c r="B60" s="19" t="str">
        <f>'Data Mentah'!B57</f>
        <v>25/12/2023</v>
      </c>
      <c r="C60" s="19">
        <f>'Data Mentah'!E57</f>
        <v>111</v>
      </c>
      <c r="D60" s="20">
        <f t="shared" si="7"/>
        <v>109.52497284229125</v>
      </c>
      <c r="E60" s="20">
        <f t="shared" si="8"/>
        <v>0.79907128555355689</v>
      </c>
      <c r="F60" s="20">
        <f t="shared" si="9"/>
        <v>109.36108093587917</v>
      </c>
      <c r="G60" s="20">
        <f t="shared" si="10"/>
        <v>1.6389190641208273</v>
      </c>
      <c r="H60" s="20">
        <f t="shared" si="11"/>
        <v>1.6389190641208273</v>
      </c>
      <c r="I60" s="21">
        <f t="shared" si="12"/>
        <v>2.6860556987386883</v>
      </c>
      <c r="J60" s="21">
        <f t="shared" si="13"/>
        <v>1.4765036613701148</v>
      </c>
    </row>
    <row r="61" spans="1:10" x14ac:dyDescent="0.35">
      <c r="A61" s="6">
        <v>53</v>
      </c>
      <c r="B61" s="19" t="str">
        <f>'Data Mentah'!B58</f>
        <v>01/01/2024</v>
      </c>
      <c r="C61" s="19">
        <f>'Data Mentah'!E58</f>
        <v>119</v>
      </c>
      <c r="D61" s="20">
        <f t="shared" si="7"/>
        <v>111.19163971506033</v>
      </c>
      <c r="E61" s="20">
        <f t="shared" si="8"/>
        <v>1.0593499617182152</v>
      </c>
      <c r="F61" s="20">
        <f t="shared" si="9"/>
        <v>110.3240441278448</v>
      </c>
      <c r="G61" s="20">
        <f t="shared" si="10"/>
        <v>8.6759558721551997</v>
      </c>
      <c r="H61" s="20">
        <f t="shared" si="11"/>
        <v>8.6759558721551997</v>
      </c>
      <c r="I61" s="21">
        <f t="shared" si="12"/>
        <v>75.272210295584287</v>
      </c>
      <c r="J61" s="21">
        <f t="shared" si="13"/>
        <v>7.2907192202984872</v>
      </c>
    </row>
    <row r="62" spans="1:10" x14ac:dyDescent="0.35">
      <c r="A62" s="6">
        <v>54</v>
      </c>
      <c r="B62" s="19" t="str">
        <f>'Data Mentah'!B59</f>
        <v>08/01/2024</v>
      </c>
      <c r="C62" s="19">
        <f>'Data Mentah'!E59</f>
        <v>118</v>
      </c>
      <c r="D62" s="20">
        <f t="shared" si="7"/>
        <v>112.82589070910069</v>
      </c>
      <c r="E62" s="20">
        <f t="shared" si="8"/>
        <v>1.2318202714148578</v>
      </c>
      <c r="F62" s="20">
        <f t="shared" si="9"/>
        <v>112.25098967677854</v>
      </c>
      <c r="G62" s="20">
        <f t="shared" si="10"/>
        <v>5.7490103232214551</v>
      </c>
      <c r="H62" s="20">
        <f t="shared" si="11"/>
        <v>5.7490103232214551</v>
      </c>
      <c r="I62" s="21">
        <f t="shared" si="12"/>
        <v>33.051119696506859</v>
      </c>
      <c r="J62" s="21">
        <f t="shared" si="13"/>
        <v>4.8720426467978433</v>
      </c>
    </row>
    <row r="63" spans="1:10" x14ac:dyDescent="0.35">
      <c r="A63" s="6">
        <v>55</v>
      </c>
      <c r="B63" s="19" t="str">
        <f>'Data Mentah'!B60</f>
        <v>15/01/2024</v>
      </c>
      <c r="C63" s="19">
        <f>'Data Mentah'!E60</f>
        <v>120</v>
      </c>
      <c r="D63" s="20">
        <f t="shared" si="7"/>
        <v>114.65193988246399</v>
      </c>
      <c r="E63" s="20">
        <f t="shared" si="8"/>
        <v>1.4100889419993909</v>
      </c>
      <c r="F63" s="20">
        <f t="shared" si="9"/>
        <v>114.05771098051555</v>
      </c>
      <c r="G63" s="20">
        <f t="shared" si="10"/>
        <v>5.9422890194844484</v>
      </c>
      <c r="H63" s="20">
        <f t="shared" si="11"/>
        <v>5.9422890194844484</v>
      </c>
      <c r="I63" s="21">
        <f t="shared" si="12"/>
        <v>35.310798791085446</v>
      </c>
      <c r="J63" s="21">
        <f t="shared" si="13"/>
        <v>4.9519075162370401</v>
      </c>
    </row>
    <row r="64" spans="1:10" x14ac:dyDescent="0.35">
      <c r="A64" s="6">
        <v>56</v>
      </c>
      <c r="B64" s="19" t="str">
        <f>'Data Mentah'!B61</f>
        <v>22/01/2024</v>
      </c>
      <c r="C64" s="19">
        <f>'Data Mentah'!E61</f>
        <v>107</v>
      </c>
      <c r="D64" s="20">
        <f t="shared" si="7"/>
        <v>115.15582594201705</v>
      </c>
      <c r="E64" s="20">
        <f t="shared" si="8"/>
        <v>1.1382280772654898</v>
      </c>
      <c r="F64" s="20">
        <f t="shared" si="9"/>
        <v>116.06202882446338</v>
      </c>
      <c r="G64" s="20">
        <f t="shared" si="10"/>
        <v>-9.0620288244633826</v>
      </c>
      <c r="H64" s="20">
        <f t="shared" si="11"/>
        <v>9.0620288244633826</v>
      </c>
      <c r="I64" s="21">
        <f t="shared" si="12"/>
        <v>82.120366415405201</v>
      </c>
      <c r="J64" s="21">
        <f t="shared" si="13"/>
        <v>8.4691858172554983</v>
      </c>
    </row>
    <row r="65" spans="1:10" x14ac:dyDescent="0.35">
      <c r="A65" s="6">
        <v>57</v>
      </c>
      <c r="B65" s="19" t="str">
        <f>'Data Mentah'!B62</f>
        <v>29/01/2024</v>
      </c>
      <c r="C65" s="19">
        <f>'Data Mentah'!E62</f>
        <v>106</v>
      </c>
      <c r="D65" s="20">
        <f t="shared" si="7"/>
        <v>115.26464861735428</v>
      </c>
      <c r="E65" s="20">
        <f t="shared" si="8"/>
        <v>0.82940645668701385</v>
      </c>
      <c r="F65" s="20">
        <f t="shared" si="9"/>
        <v>116.29405401928254</v>
      </c>
      <c r="G65" s="20">
        <f t="shared" si="10"/>
        <v>-10.294054019282541</v>
      </c>
      <c r="H65" s="20">
        <f t="shared" si="11"/>
        <v>10.294054019282541</v>
      </c>
      <c r="I65" s="21">
        <f t="shared" si="12"/>
        <v>105.96754815190704</v>
      </c>
      <c r="J65" s="21">
        <f t="shared" si="13"/>
        <v>9.711371716304285</v>
      </c>
    </row>
    <row r="66" spans="1:10" x14ac:dyDescent="0.35">
      <c r="A66" s="6">
        <v>58</v>
      </c>
      <c r="B66" s="19" t="str">
        <f>'Data Mentah'!B63</f>
        <v>05/02/2024</v>
      </c>
      <c r="C66" s="19">
        <f>'Data Mentah'!E63</f>
        <v>118</v>
      </c>
      <c r="D66" s="20">
        <f t="shared" si="7"/>
        <v>116.28464956663716</v>
      </c>
      <c r="E66" s="20">
        <f t="shared" si="8"/>
        <v>0.88658480446577181</v>
      </c>
      <c r="F66" s="20">
        <f t="shared" si="9"/>
        <v>116.09405507404129</v>
      </c>
      <c r="G66" s="20">
        <f t="shared" si="10"/>
        <v>1.9059449259587069</v>
      </c>
      <c r="H66" s="20">
        <f t="shared" si="11"/>
        <v>1.9059449259587069</v>
      </c>
      <c r="I66" s="21">
        <f t="shared" si="12"/>
        <v>3.6326260607877408</v>
      </c>
      <c r="J66" s="21">
        <f t="shared" si="13"/>
        <v>1.6152075643717856</v>
      </c>
    </row>
    <row r="67" spans="1:10" x14ac:dyDescent="0.35">
      <c r="A67" s="6">
        <v>59</v>
      </c>
      <c r="B67" s="19" t="str">
        <f>'Data Mentah'!B64</f>
        <v>12/02/2024</v>
      </c>
      <c r="C67" s="19">
        <f>'Data Mentah'!E64</f>
        <v>119</v>
      </c>
      <c r="D67" s="20">
        <f t="shared" si="7"/>
        <v>117.35411093399264</v>
      </c>
      <c r="E67" s="20">
        <f t="shared" si="8"/>
        <v>0.94144777333268626</v>
      </c>
      <c r="F67" s="20">
        <f t="shared" si="9"/>
        <v>117.17123437110293</v>
      </c>
      <c r="G67" s="20">
        <f t="shared" si="10"/>
        <v>1.8287656288970737</v>
      </c>
      <c r="H67" s="20">
        <f t="shared" si="11"/>
        <v>1.8287656288970737</v>
      </c>
      <c r="I67" s="21">
        <f t="shared" si="12"/>
        <v>3.3443837254353097</v>
      </c>
      <c r="J67" s="21">
        <f t="shared" si="13"/>
        <v>1.5367778394093057</v>
      </c>
    </row>
    <row r="68" spans="1:10" x14ac:dyDescent="0.35">
      <c r="A68" s="6">
        <v>60</v>
      </c>
      <c r="B68" s="19" t="str">
        <f>'Data Mentah'!B65</f>
        <v>19/02/2024</v>
      </c>
      <c r="C68" s="19">
        <f>'Data Mentah'!E65</f>
        <v>120</v>
      </c>
      <c r="D68" s="20">
        <f t="shared" si="7"/>
        <v>118.46600283659279</v>
      </c>
      <c r="E68" s="20">
        <f t="shared" si="8"/>
        <v>0.99258101211292504</v>
      </c>
      <c r="F68" s="20">
        <f t="shared" si="9"/>
        <v>118.29555870732533</v>
      </c>
      <c r="G68" s="20">
        <f t="shared" si="10"/>
        <v>1.704441292674673</v>
      </c>
      <c r="H68" s="20">
        <f t="shared" si="11"/>
        <v>1.704441292674673</v>
      </c>
      <c r="I68" s="21">
        <f t="shared" si="12"/>
        <v>2.9051201201745105</v>
      </c>
      <c r="J68" s="21">
        <f t="shared" si="13"/>
        <v>1.4203677438955609</v>
      </c>
    </row>
    <row r="69" spans="1:10" x14ac:dyDescent="0.35">
      <c r="A69" s="6">
        <v>61</v>
      </c>
      <c r="B69" s="19" t="str">
        <f>'Data Mentah'!B66</f>
        <v>26/02/2024</v>
      </c>
      <c r="C69" s="19">
        <f>'Data Mentah'!E66</f>
        <v>123</v>
      </c>
      <c r="D69" s="20">
        <f t="shared" si="7"/>
        <v>119.81272546383514</v>
      </c>
      <c r="E69" s="20">
        <f t="shared" si="8"/>
        <v>1.0988234966517503</v>
      </c>
      <c r="F69" s="20">
        <f t="shared" si="9"/>
        <v>119.45858384870571</v>
      </c>
      <c r="G69" s="20">
        <f t="shared" si="10"/>
        <v>3.5414161512942854</v>
      </c>
      <c r="H69" s="20">
        <f t="shared" si="11"/>
        <v>3.5414161512942854</v>
      </c>
      <c r="I69" s="21">
        <f t="shared" si="12"/>
        <v>12.54162835664803</v>
      </c>
      <c r="J69" s="21">
        <f t="shared" si="13"/>
        <v>2.8792001230034838</v>
      </c>
    </row>
    <row r="70" spans="1:10" x14ac:dyDescent="0.35">
      <c r="A70" s="6">
        <v>62</v>
      </c>
      <c r="B70" s="19" t="str">
        <f>'Data Mentah'!B67</f>
        <v>04/03/2024</v>
      </c>
      <c r="C70" s="19">
        <f>'Data Mentah'!E67</f>
        <v>124</v>
      </c>
      <c r="D70" s="20">
        <f t="shared" si="7"/>
        <v>121.2203940644382</v>
      </c>
      <c r="E70" s="20">
        <f t="shared" si="8"/>
        <v>1.1914770278371432</v>
      </c>
      <c r="F70" s="20">
        <f t="shared" si="9"/>
        <v>120.91154896048688</v>
      </c>
      <c r="G70" s="20">
        <f t="shared" si="10"/>
        <v>3.0884510395131173</v>
      </c>
      <c r="H70" s="20">
        <f t="shared" si="11"/>
        <v>3.0884510395131173</v>
      </c>
      <c r="I70" s="21">
        <f t="shared" si="12"/>
        <v>9.5385298234696538</v>
      </c>
      <c r="J70" s="21">
        <f t="shared" si="13"/>
        <v>2.4906863221879978</v>
      </c>
    </row>
    <row r="71" spans="1:10" x14ac:dyDescent="0.35">
      <c r="A71" s="6">
        <v>63</v>
      </c>
      <c r="B71" s="19" t="str">
        <f>'Data Mentah'!B68</f>
        <v>11/03/2024</v>
      </c>
      <c r="C71" s="19">
        <f>'Data Mentah'!E68</f>
        <v>120</v>
      </c>
      <c r="D71" s="20">
        <f t="shared" si="7"/>
        <v>122.17068398304781</v>
      </c>
      <c r="E71" s="20">
        <f t="shared" si="8"/>
        <v>1.119120895068884</v>
      </c>
      <c r="F71" s="20">
        <f t="shared" si="9"/>
        <v>122.41187109227533</v>
      </c>
      <c r="G71" s="20">
        <f t="shared" si="10"/>
        <v>-2.4118710922753337</v>
      </c>
      <c r="H71" s="20">
        <f t="shared" si="11"/>
        <v>2.4118710922753337</v>
      </c>
      <c r="I71" s="21">
        <f t="shared" si="12"/>
        <v>5.8171221657534113</v>
      </c>
      <c r="J71" s="21">
        <f t="shared" si="13"/>
        <v>2.0098925768961116</v>
      </c>
    </row>
    <row r="72" spans="1:10" x14ac:dyDescent="0.35">
      <c r="A72" s="6">
        <v>64</v>
      </c>
      <c r="B72" s="19" t="str">
        <f>'Data Mentah'!B69</f>
        <v>18/03/2024</v>
      </c>
      <c r="C72" s="19">
        <f>'Data Mentah'!E69</f>
        <v>133</v>
      </c>
      <c r="D72" s="20">
        <f t="shared" si="7"/>
        <v>124.26082439030503</v>
      </c>
      <c r="E72" s="20">
        <f t="shared" si="8"/>
        <v>1.4104267487253859</v>
      </c>
      <c r="F72" s="20">
        <f t="shared" si="9"/>
        <v>123.2898048781167</v>
      </c>
      <c r="G72" s="20">
        <f t="shared" si="10"/>
        <v>9.7101951218833022</v>
      </c>
      <c r="H72" s="20">
        <f t="shared" si="11"/>
        <v>9.7101951218833022</v>
      </c>
      <c r="I72" s="21">
        <f t="shared" si="12"/>
        <v>94.287889305046278</v>
      </c>
      <c r="J72" s="21">
        <f t="shared" si="13"/>
        <v>7.3008985878821822</v>
      </c>
    </row>
    <row r="73" spans="1:10" x14ac:dyDescent="0.35">
      <c r="A73" s="6">
        <v>65</v>
      </c>
      <c r="B73" s="19" t="str">
        <f>'Data Mentah'!B70</f>
        <v>25/03/2024</v>
      </c>
      <c r="C73" s="19">
        <f>'Data Mentah'!E70</f>
        <v>129</v>
      </c>
      <c r="D73" s="20">
        <f t="shared" ref="D73:D104" si="14">$E$4*C73+(1-$E$4)*(D72+E72)</f>
        <v>126.00412602512738</v>
      </c>
      <c r="E73" s="20">
        <f t="shared" ref="E73:E104" si="15">$H$4*(D73-D72)+(1-$H$4)*E72</f>
        <v>1.5102892145544735</v>
      </c>
      <c r="F73" s="20">
        <f t="shared" ref="F73:F104" si="16">D72+E72</f>
        <v>125.67125113903042</v>
      </c>
      <c r="G73" s="20">
        <f t="shared" ref="G73:G104" si="17">C73-F73</f>
        <v>3.3287488609695828</v>
      </c>
      <c r="H73" s="20">
        <f t="shared" ref="H73:H104" si="18">ABS(G73)</f>
        <v>3.3287488609695828</v>
      </c>
      <c r="I73" s="21">
        <f t="shared" ref="I73:I104" si="19">G73^2</f>
        <v>11.080568979406294</v>
      </c>
      <c r="J73" s="21">
        <f t="shared" ref="J73:J104" si="20">ABS(G73/C73)*100</f>
        <v>2.5804254736198318</v>
      </c>
    </row>
    <row r="74" spans="1:10" x14ac:dyDescent="0.35">
      <c r="A74" s="6">
        <v>66</v>
      </c>
      <c r="B74" s="19" t="str">
        <f>'Data Mentah'!B71</f>
        <v>01/04/2024</v>
      </c>
      <c r="C74" s="19">
        <f>'Data Mentah'!E71</f>
        <v>131</v>
      </c>
      <c r="D74" s="20">
        <f t="shared" si="14"/>
        <v>127.86297371571368</v>
      </c>
      <c r="E74" s="20">
        <f t="shared" si="15"/>
        <v>1.6148567573640218</v>
      </c>
      <c r="F74" s="20">
        <f t="shared" si="16"/>
        <v>127.51441523968185</v>
      </c>
      <c r="G74" s="20">
        <f t="shared" si="17"/>
        <v>3.4855847603181473</v>
      </c>
      <c r="H74" s="20">
        <f t="shared" si="18"/>
        <v>3.4855847603181473</v>
      </c>
      <c r="I74" s="21">
        <f t="shared" si="19"/>
        <v>12.149301121362116</v>
      </c>
      <c r="J74" s="21">
        <f t="shared" si="20"/>
        <v>2.6607517254337005</v>
      </c>
    </row>
    <row r="75" spans="1:10" x14ac:dyDescent="0.35">
      <c r="A75" s="6">
        <v>67</v>
      </c>
      <c r="B75" s="19" t="str">
        <f>'Data Mentah'!B72</f>
        <v>08/04/2024</v>
      </c>
      <c r="C75" s="19">
        <f>'Data Mentah'!E72</f>
        <v>134</v>
      </c>
      <c r="D75" s="20">
        <f t="shared" si="14"/>
        <v>129.93004742576991</v>
      </c>
      <c r="E75" s="20">
        <f t="shared" si="15"/>
        <v>1.7505218431716858</v>
      </c>
      <c r="F75" s="20">
        <f t="shared" si="16"/>
        <v>129.47783047307769</v>
      </c>
      <c r="G75" s="20">
        <f t="shared" si="17"/>
        <v>4.5221695269223119</v>
      </c>
      <c r="H75" s="20">
        <f t="shared" si="18"/>
        <v>4.5221695269223119</v>
      </c>
      <c r="I75" s="21">
        <f t="shared" si="19"/>
        <v>20.450017230224766</v>
      </c>
      <c r="J75" s="21">
        <f t="shared" si="20"/>
        <v>3.3747533783002326</v>
      </c>
    </row>
    <row r="76" spans="1:10" x14ac:dyDescent="0.35">
      <c r="A76" s="6">
        <v>68</v>
      </c>
      <c r="B76" s="19" t="str">
        <f>'Data Mentah'!B73</f>
        <v>15/04/2024</v>
      </c>
      <c r="C76" s="19">
        <f>'Data Mentah'!E73</f>
        <v>132</v>
      </c>
      <c r="D76" s="20">
        <f t="shared" si="14"/>
        <v>131.71251234204746</v>
      </c>
      <c r="E76" s="20">
        <f t="shared" si="15"/>
        <v>1.760104765103444</v>
      </c>
      <c r="F76" s="20">
        <f t="shared" si="16"/>
        <v>131.68056926894161</v>
      </c>
      <c r="G76" s="20">
        <f t="shared" si="17"/>
        <v>0.31943073105838948</v>
      </c>
      <c r="H76" s="20">
        <f t="shared" si="18"/>
        <v>0.31943073105838948</v>
      </c>
      <c r="I76" s="21">
        <f t="shared" si="19"/>
        <v>0.10203599194449715</v>
      </c>
      <c r="J76" s="21">
        <f t="shared" si="20"/>
        <v>0.24199297807453748</v>
      </c>
    </row>
    <row r="77" spans="1:10" x14ac:dyDescent="0.35">
      <c r="A77" s="6">
        <v>69</v>
      </c>
      <c r="B77" s="19" t="str">
        <f>'Data Mentah'!B74</f>
        <v>22/04/2024</v>
      </c>
      <c r="C77" s="19">
        <f>'Data Mentah'!E74</f>
        <v>125</v>
      </c>
      <c r="D77" s="20">
        <f t="shared" si="14"/>
        <v>132.62535539643582</v>
      </c>
      <c r="E77" s="20">
        <f t="shared" si="15"/>
        <v>1.5059262518889189</v>
      </c>
      <c r="F77" s="20">
        <f t="shared" si="16"/>
        <v>133.47261710715091</v>
      </c>
      <c r="G77" s="20">
        <f t="shared" si="17"/>
        <v>-8.47261710715091</v>
      </c>
      <c r="H77" s="20">
        <f t="shared" si="18"/>
        <v>8.47261710715091</v>
      </c>
      <c r="I77" s="21">
        <f t="shared" si="19"/>
        <v>71.785240644386249</v>
      </c>
      <c r="J77" s="21">
        <f t="shared" si="20"/>
        <v>6.7780936857207275</v>
      </c>
    </row>
    <row r="78" spans="1:10" x14ac:dyDescent="0.35">
      <c r="A78" s="6">
        <v>70</v>
      </c>
      <c r="B78" s="19" t="str">
        <f>'Data Mentah'!B75</f>
        <v>29/04/2024</v>
      </c>
      <c r="C78" s="19">
        <f>'Data Mentah'!E75</f>
        <v>123</v>
      </c>
      <c r="D78" s="20">
        <f t="shared" si="14"/>
        <v>133.01815348349228</v>
      </c>
      <c r="E78" s="20">
        <f t="shared" si="15"/>
        <v>1.1719878024391819</v>
      </c>
      <c r="F78" s="20">
        <f t="shared" si="16"/>
        <v>134.13128164832474</v>
      </c>
      <c r="G78" s="20">
        <f t="shared" si="17"/>
        <v>-11.131281648324745</v>
      </c>
      <c r="H78" s="20">
        <f t="shared" si="18"/>
        <v>11.131281648324745</v>
      </c>
      <c r="I78" s="21">
        <f t="shared" si="19"/>
        <v>123.90543113433124</v>
      </c>
      <c r="J78" s="21">
        <f t="shared" si="20"/>
        <v>9.0498224783128016</v>
      </c>
    </row>
    <row r="79" spans="1:10" x14ac:dyDescent="0.35">
      <c r="A79" s="6">
        <v>71</v>
      </c>
      <c r="B79" s="19" t="str">
        <f>'Data Mentah'!B76</f>
        <v>06/05/2024</v>
      </c>
      <c r="C79" s="19">
        <f>'Data Mentah'!E76</f>
        <v>133</v>
      </c>
      <c r="D79" s="20">
        <f t="shared" si="14"/>
        <v>134.07112715733834</v>
      </c>
      <c r="E79" s="20">
        <f t="shared" si="15"/>
        <v>1.1362835638612436</v>
      </c>
      <c r="F79" s="20">
        <f t="shared" si="16"/>
        <v>134.19014128593147</v>
      </c>
      <c r="G79" s="20">
        <f t="shared" si="17"/>
        <v>-1.1901412859314746</v>
      </c>
      <c r="H79" s="20">
        <f t="shared" si="18"/>
        <v>1.1901412859314746</v>
      </c>
      <c r="I79" s="21">
        <f t="shared" si="19"/>
        <v>1.4164362804786239</v>
      </c>
      <c r="J79" s="21">
        <f t="shared" si="20"/>
        <v>0.89484307212892822</v>
      </c>
    </row>
    <row r="80" spans="1:10" x14ac:dyDescent="0.35">
      <c r="A80" s="6">
        <v>72</v>
      </c>
      <c r="B80" s="19" t="str">
        <f>'Data Mentah'!B77</f>
        <v>13/05/2024</v>
      </c>
      <c r="C80" s="19">
        <f>'Data Mentah'!E77</f>
        <v>118</v>
      </c>
      <c r="D80" s="20">
        <f t="shared" si="14"/>
        <v>133.48666964907963</v>
      </c>
      <c r="E80" s="20">
        <f t="shared" si="15"/>
        <v>0.62006124222525794</v>
      </c>
      <c r="F80" s="20">
        <f t="shared" si="16"/>
        <v>135.20741072119958</v>
      </c>
      <c r="G80" s="20">
        <f t="shared" si="17"/>
        <v>-17.207410721199579</v>
      </c>
      <c r="H80" s="20">
        <f t="shared" si="18"/>
        <v>17.207410721199579</v>
      </c>
      <c r="I80" s="21">
        <f t="shared" si="19"/>
        <v>296.09498372805422</v>
      </c>
      <c r="J80" s="21">
        <f t="shared" si="20"/>
        <v>14.58255145864371</v>
      </c>
    </row>
    <row r="81" spans="1:10" x14ac:dyDescent="0.35">
      <c r="A81" s="6">
        <v>73</v>
      </c>
      <c r="B81" s="19" t="str">
        <f>'Data Mentah'!B78</f>
        <v>20/05/2024</v>
      </c>
      <c r="C81" s="19">
        <f>'Data Mentah'!E78</f>
        <v>120</v>
      </c>
      <c r="D81" s="20">
        <f t="shared" si="14"/>
        <v>132.69605780217441</v>
      </c>
      <c r="E81" s="20">
        <f t="shared" si="15"/>
        <v>0.19685931548611402</v>
      </c>
      <c r="F81" s="20">
        <f t="shared" si="16"/>
        <v>134.10673089130489</v>
      </c>
      <c r="G81" s="20">
        <f t="shared" si="17"/>
        <v>-14.106730891304892</v>
      </c>
      <c r="H81" s="20">
        <f t="shared" si="18"/>
        <v>14.106730891304892</v>
      </c>
      <c r="I81" s="21">
        <f t="shared" si="19"/>
        <v>198.99985643969572</v>
      </c>
      <c r="J81" s="21">
        <f t="shared" si="20"/>
        <v>11.75560907608741</v>
      </c>
    </row>
    <row r="82" spans="1:10" x14ac:dyDescent="0.35">
      <c r="A82" s="6">
        <v>74</v>
      </c>
      <c r="B82" s="19" t="str">
        <f>'Data Mentah'!B79</f>
        <v>27/05/2024</v>
      </c>
      <c r="C82" s="19">
        <f>'Data Mentah'!E79</f>
        <v>108</v>
      </c>
      <c r="D82" s="20">
        <f t="shared" si="14"/>
        <v>130.40362540589447</v>
      </c>
      <c r="E82" s="20">
        <f t="shared" si="15"/>
        <v>-0.54992819804370074</v>
      </c>
      <c r="F82" s="20">
        <f t="shared" si="16"/>
        <v>132.89291711766052</v>
      </c>
      <c r="G82" s="20">
        <f t="shared" si="17"/>
        <v>-24.892917117660517</v>
      </c>
      <c r="H82" s="20">
        <f t="shared" si="18"/>
        <v>24.892917117660517</v>
      </c>
      <c r="I82" s="21">
        <f t="shared" si="19"/>
        <v>619.657322626716</v>
      </c>
      <c r="J82" s="21">
        <f t="shared" si="20"/>
        <v>23.048997331167147</v>
      </c>
    </row>
    <row r="83" spans="1:10" x14ac:dyDescent="0.35">
      <c r="A83" s="6">
        <v>75</v>
      </c>
      <c r="B83" s="19" t="str">
        <f>'Data Mentah'!B80</f>
        <v>03/06/2024</v>
      </c>
      <c r="C83" s="19">
        <f>'Data Mentah'!E80</f>
        <v>96</v>
      </c>
      <c r="D83" s="20">
        <f t="shared" si="14"/>
        <v>126.46832748706572</v>
      </c>
      <c r="E83" s="20">
        <f t="shared" si="15"/>
        <v>-1.5655391142792161</v>
      </c>
      <c r="F83" s="20">
        <f t="shared" si="16"/>
        <v>129.85369720785079</v>
      </c>
      <c r="G83" s="20">
        <f t="shared" si="17"/>
        <v>-33.853697207850786</v>
      </c>
      <c r="H83" s="20">
        <f t="shared" si="18"/>
        <v>33.853697207850786</v>
      </c>
      <c r="I83" s="21">
        <f t="shared" si="19"/>
        <v>1146.0728146408442</v>
      </c>
      <c r="J83" s="21">
        <f t="shared" si="20"/>
        <v>35.264267924844567</v>
      </c>
    </row>
    <row r="84" spans="1:10" x14ac:dyDescent="0.35">
      <c r="A84" s="6">
        <v>76</v>
      </c>
      <c r="B84" s="19" t="str">
        <f>'Data Mentah'!B81</f>
        <v>10/06/2024</v>
      </c>
      <c r="C84" s="19">
        <f>'Data Mentah'!E81</f>
        <v>98</v>
      </c>
      <c r="D84" s="20">
        <f t="shared" si="14"/>
        <v>122.21250953550785</v>
      </c>
      <c r="E84" s="20">
        <f t="shared" si="15"/>
        <v>-2.3726227654628129</v>
      </c>
      <c r="F84" s="20">
        <f t="shared" si="16"/>
        <v>124.9027883727865</v>
      </c>
      <c r="G84" s="20">
        <f t="shared" si="17"/>
        <v>-26.902788372786503</v>
      </c>
      <c r="H84" s="20">
        <f t="shared" si="18"/>
        <v>26.902788372786503</v>
      </c>
      <c r="I84" s="21">
        <f t="shared" si="19"/>
        <v>723.76002223093667</v>
      </c>
      <c r="J84" s="21">
        <f t="shared" si="20"/>
        <v>27.451824870190311</v>
      </c>
    </row>
    <row r="85" spans="1:10" x14ac:dyDescent="0.35">
      <c r="A85" s="6">
        <v>77</v>
      </c>
      <c r="B85" s="19" t="str">
        <f>'Data Mentah'!B82</f>
        <v>17/06/2024</v>
      </c>
      <c r="C85" s="19">
        <f>'Data Mentah'!E82</f>
        <v>103</v>
      </c>
      <c r="D85" s="20">
        <f t="shared" si="14"/>
        <v>118.15589809304053</v>
      </c>
      <c r="E85" s="20">
        <f t="shared" si="15"/>
        <v>-2.8778193685641633</v>
      </c>
      <c r="F85" s="20">
        <f t="shared" si="16"/>
        <v>119.83988677004504</v>
      </c>
      <c r="G85" s="20">
        <f t="shared" si="17"/>
        <v>-16.839886770045041</v>
      </c>
      <c r="H85" s="20">
        <f t="shared" si="18"/>
        <v>16.839886770045041</v>
      </c>
      <c r="I85" s="21">
        <f t="shared" si="19"/>
        <v>283.58178642793803</v>
      </c>
      <c r="J85" s="21">
        <f t="shared" si="20"/>
        <v>16.349404631111693</v>
      </c>
    </row>
    <row r="86" spans="1:10" x14ac:dyDescent="0.35">
      <c r="A86" s="6">
        <v>78</v>
      </c>
      <c r="B86" s="19" t="str">
        <f>'Data Mentah'!B83</f>
        <v>24/06/2024</v>
      </c>
      <c r="C86" s="19">
        <f>'Data Mentah'!E83</f>
        <v>107</v>
      </c>
      <c r="D86" s="20">
        <f t="shared" si="14"/>
        <v>114.45027085202874</v>
      </c>
      <c r="E86" s="20">
        <f t="shared" si="15"/>
        <v>-3.126161730298453</v>
      </c>
      <c r="F86" s="20">
        <f t="shared" si="16"/>
        <v>115.27807872447637</v>
      </c>
      <c r="G86" s="20">
        <f t="shared" si="17"/>
        <v>-8.2780787244763729</v>
      </c>
      <c r="H86" s="20">
        <f t="shared" si="18"/>
        <v>8.2780787244763729</v>
      </c>
      <c r="I86" s="21">
        <f t="shared" si="19"/>
        <v>68.52658736862837</v>
      </c>
      <c r="J86" s="21">
        <f t="shared" si="20"/>
        <v>7.7365221724078257</v>
      </c>
    </row>
    <row r="87" spans="1:10" x14ac:dyDescent="0.35">
      <c r="A87" s="6">
        <v>79</v>
      </c>
      <c r="B87" s="19" t="str">
        <f>'Data Mentah'!B84</f>
        <v>01/07/2024</v>
      </c>
      <c r="C87" s="19">
        <f>'Data Mentah'!E84</f>
        <v>108</v>
      </c>
      <c r="D87" s="20">
        <f t="shared" si="14"/>
        <v>110.99169820955726</v>
      </c>
      <c r="E87" s="20">
        <f t="shared" si="15"/>
        <v>-3.2258850039503608</v>
      </c>
      <c r="F87" s="20">
        <f t="shared" si="16"/>
        <v>111.32410912173029</v>
      </c>
      <c r="G87" s="20">
        <f t="shared" si="17"/>
        <v>-3.3241091217302881</v>
      </c>
      <c r="H87" s="20">
        <f t="shared" si="18"/>
        <v>3.3241091217302881</v>
      </c>
      <c r="I87" s="21">
        <f t="shared" si="19"/>
        <v>11.049701453170506</v>
      </c>
      <c r="J87" s="21">
        <f t="shared" si="20"/>
        <v>3.0778788164169333</v>
      </c>
    </row>
    <row r="88" spans="1:10" x14ac:dyDescent="0.35">
      <c r="A88" s="6">
        <v>80</v>
      </c>
      <c r="B88" s="19" t="str">
        <f>'Data Mentah'!B85</f>
        <v>08/07/2024</v>
      </c>
      <c r="C88" s="19">
        <f>'Data Mentah'!E85</f>
        <v>125</v>
      </c>
      <c r="D88" s="20">
        <f t="shared" si="14"/>
        <v>109.48923188504621</v>
      </c>
      <c r="E88" s="20">
        <f t="shared" si="15"/>
        <v>-2.7088594001185666</v>
      </c>
      <c r="F88" s="20">
        <f t="shared" si="16"/>
        <v>107.76581320560689</v>
      </c>
      <c r="G88" s="20">
        <f t="shared" si="17"/>
        <v>17.234186794393111</v>
      </c>
      <c r="H88" s="20">
        <f t="shared" si="18"/>
        <v>17.234186794393111</v>
      </c>
      <c r="I88" s="21">
        <f t="shared" si="19"/>
        <v>297.01719446403388</v>
      </c>
      <c r="J88" s="21">
        <f t="shared" si="20"/>
        <v>13.787349435514489</v>
      </c>
    </row>
    <row r="89" spans="1:10" x14ac:dyDescent="0.35">
      <c r="A89" s="6">
        <v>81</v>
      </c>
      <c r="B89" s="19" t="str">
        <f>'Data Mentah'!B86</f>
        <v>15/07/2024</v>
      </c>
      <c r="C89" s="19">
        <f>'Data Mentah'!E86</f>
        <v>126</v>
      </c>
      <c r="D89" s="20">
        <f t="shared" si="14"/>
        <v>108.70233523643489</v>
      </c>
      <c r="E89" s="20">
        <f t="shared" si="15"/>
        <v>-2.1322705746663919</v>
      </c>
      <c r="F89" s="20">
        <f t="shared" si="16"/>
        <v>106.78037248492764</v>
      </c>
      <c r="G89" s="20">
        <f t="shared" si="17"/>
        <v>19.219627515072361</v>
      </c>
      <c r="H89" s="20">
        <f t="shared" si="18"/>
        <v>19.219627515072361</v>
      </c>
      <c r="I89" s="21">
        <f t="shared" si="19"/>
        <v>369.39408181812655</v>
      </c>
      <c r="J89" s="21">
        <f t="shared" si="20"/>
        <v>15.25367263100981</v>
      </c>
    </row>
    <row r="90" spans="1:10" x14ac:dyDescent="0.35">
      <c r="A90" s="6">
        <v>82</v>
      </c>
      <c r="B90" s="19" t="str">
        <f>'Data Mentah'!B87</f>
        <v>22/07/2024</v>
      </c>
      <c r="C90" s="19">
        <f>'Data Mentah'!E87</f>
        <v>134</v>
      </c>
      <c r="D90" s="20">
        <f t="shared" si="14"/>
        <v>109.31305819559165</v>
      </c>
      <c r="E90" s="20">
        <f t="shared" si="15"/>
        <v>-1.3093725145194461</v>
      </c>
      <c r="F90" s="20">
        <f t="shared" si="16"/>
        <v>106.5700646617685</v>
      </c>
      <c r="G90" s="20">
        <f t="shared" si="17"/>
        <v>27.429935338231502</v>
      </c>
      <c r="H90" s="20">
        <f t="shared" si="18"/>
        <v>27.429935338231502</v>
      </c>
      <c r="I90" s="21">
        <f t="shared" si="19"/>
        <v>752.40135265956133</v>
      </c>
      <c r="J90" s="21">
        <f t="shared" si="20"/>
        <v>20.470100998680223</v>
      </c>
    </row>
    <row r="91" spans="1:10" x14ac:dyDescent="0.35">
      <c r="A91" s="6">
        <v>83</v>
      </c>
      <c r="B91" s="19" t="str">
        <f>'Data Mentah'!B88</f>
        <v>29/07/2024</v>
      </c>
      <c r="C91" s="19">
        <f>'Data Mentah'!E88</f>
        <v>135</v>
      </c>
      <c r="D91" s="20">
        <f t="shared" si="14"/>
        <v>110.70331711296498</v>
      </c>
      <c r="E91" s="20">
        <f t="shared" si="15"/>
        <v>-0.49948308495161309</v>
      </c>
      <c r="F91" s="20">
        <f t="shared" si="16"/>
        <v>108.0036856810722</v>
      </c>
      <c r="G91" s="20">
        <f t="shared" si="17"/>
        <v>26.996314318927801</v>
      </c>
      <c r="H91" s="20">
        <f t="shared" si="18"/>
        <v>26.996314318927801</v>
      </c>
      <c r="I91" s="21">
        <f t="shared" si="19"/>
        <v>728.80098680634626</v>
      </c>
      <c r="J91" s="21">
        <f t="shared" si="20"/>
        <v>19.997269865872447</v>
      </c>
    </row>
    <row r="92" spans="1:10" x14ac:dyDescent="0.35">
      <c r="A92" s="6">
        <v>84</v>
      </c>
      <c r="B92" s="19" t="str">
        <f>'Data Mentah'!B89</f>
        <v>05/08/2024</v>
      </c>
      <c r="C92" s="19">
        <f>'Data Mentah'!E89</f>
        <v>126</v>
      </c>
      <c r="D92" s="20">
        <f t="shared" si="14"/>
        <v>111.78345062521205</v>
      </c>
      <c r="E92" s="20">
        <f t="shared" si="15"/>
        <v>-2.5598105792007164E-2</v>
      </c>
      <c r="F92" s="20">
        <f t="shared" si="16"/>
        <v>110.20383402801338</v>
      </c>
      <c r="G92" s="20">
        <f t="shared" si="17"/>
        <v>15.796165971986625</v>
      </c>
      <c r="H92" s="20">
        <f t="shared" si="18"/>
        <v>15.796165971986625</v>
      </c>
      <c r="I92" s="21">
        <f t="shared" si="19"/>
        <v>249.51885941454816</v>
      </c>
      <c r="J92" s="21">
        <f t="shared" si="20"/>
        <v>12.536639660306845</v>
      </c>
    </row>
    <row r="93" spans="1:10" x14ac:dyDescent="0.35">
      <c r="A93" s="6">
        <v>85</v>
      </c>
      <c r="B93" s="19" t="str">
        <f>'Data Mentah'!B90</f>
        <v>12/08/2024</v>
      </c>
      <c r="C93" s="19">
        <f>'Data Mentah'!E90</f>
        <v>125</v>
      </c>
      <c r="D93" s="20">
        <f t="shared" si="14"/>
        <v>113.08206726747804</v>
      </c>
      <c r="E93" s="20">
        <f t="shared" si="15"/>
        <v>0.37166631862539001</v>
      </c>
      <c r="F93" s="20">
        <f t="shared" si="16"/>
        <v>111.75785251942004</v>
      </c>
      <c r="G93" s="20">
        <f t="shared" si="17"/>
        <v>13.242147480579959</v>
      </c>
      <c r="H93" s="20">
        <f t="shared" si="18"/>
        <v>13.242147480579959</v>
      </c>
      <c r="I93" s="21">
        <f t="shared" si="19"/>
        <v>175.35446989743016</v>
      </c>
      <c r="J93" s="21">
        <f t="shared" si="20"/>
        <v>10.593717984463966</v>
      </c>
    </row>
    <row r="94" spans="1:10" x14ac:dyDescent="0.35">
      <c r="A94" s="6">
        <v>86</v>
      </c>
      <c r="B94" s="19" t="str">
        <f>'Data Mentah'!B91</f>
        <v>19/08/2024</v>
      </c>
      <c r="C94" s="19">
        <f>'Data Mentah'!E91</f>
        <v>124</v>
      </c>
      <c r="D94" s="20">
        <f t="shared" si="14"/>
        <v>114.50836022749309</v>
      </c>
      <c r="E94" s="20">
        <f t="shared" si="15"/>
        <v>0.68805431104228709</v>
      </c>
      <c r="F94" s="20">
        <f t="shared" si="16"/>
        <v>113.45373358610343</v>
      </c>
      <c r="G94" s="20">
        <f t="shared" si="17"/>
        <v>10.546266413896575</v>
      </c>
      <c r="H94" s="20">
        <f t="shared" si="18"/>
        <v>10.546266413896575</v>
      </c>
      <c r="I94" s="21">
        <f t="shared" si="19"/>
        <v>111.22373527288292</v>
      </c>
      <c r="J94" s="21">
        <f t="shared" si="20"/>
        <v>8.5050535595940122</v>
      </c>
    </row>
    <row r="95" spans="1:10" x14ac:dyDescent="0.35">
      <c r="A95" s="6">
        <v>87</v>
      </c>
      <c r="B95" s="19" t="str">
        <f>'Data Mentah'!B92</f>
        <v>26/08/2024</v>
      </c>
      <c r="C95" s="19">
        <f>'Data Mentah'!E92</f>
        <v>113</v>
      </c>
      <c r="D95" s="20">
        <f t="shared" si="14"/>
        <v>114.97677308468184</v>
      </c>
      <c r="E95" s="20">
        <f t="shared" si="15"/>
        <v>0.62216187488622676</v>
      </c>
      <c r="F95" s="20">
        <f t="shared" si="16"/>
        <v>115.19641453853538</v>
      </c>
      <c r="G95" s="20">
        <f t="shared" si="17"/>
        <v>-2.1964145385353788</v>
      </c>
      <c r="H95" s="20">
        <f t="shared" si="18"/>
        <v>2.1964145385353788</v>
      </c>
      <c r="I95" s="21">
        <f t="shared" si="19"/>
        <v>4.8242368250895815</v>
      </c>
      <c r="J95" s="21">
        <f t="shared" si="20"/>
        <v>1.9437296801198041</v>
      </c>
    </row>
    <row r="96" spans="1:10" x14ac:dyDescent="0.35">
      <c r="A96" s="6">
        <v>88</v>
      </c>
      <c r="B96" s="19" t="str">
        <f>'Data Mentah'!B93</f>
        <v>02/09/2024</v>
      </c>
      <c r="C96" s="19">
        <f>'Data Mentah'!E93</f>
        <v>117</v>
      </c>
      <c r="D96" s="20">
        <f t="shared" si="14"/>
        <v>115.73904146361127</v>
      </c>
      <c r="E96" s="20">
        <f t="shared" si="15"/>
        <v>0.66419382609918898</v>
      </c>
      <c r="F96" s="20">
        <f t="shared" si="16"/>
        <v>115.59893495956807</v>
      </c>
      <c r="G96" s="20">
        <f t="shared" si="17"/>
        <v>1.4010650404319307</v>
      </c>
      <c r="H96" s="20">
        <f t="shared" si="18"/>
        <v>1.4010650404319307</v>
      </c>
      <c r="I96" s="21">
        <f t="shared" si="19"/>
        <v>1.9629832475205276</v>
      </c>
      <c r="J96" s="21">
        <f t="shared" si="20"/>
        <v>1.1974914875486586</v>
      </c>
    </row>
    <row r="97" spans="1:10" x14ac:dyDescent="0.35">
      <c r="A97" s="6">
        <v>89</v>
      </c>
      <c r="B97" s="19" t="str">
        <f>'Data Mentah'!B94</f>
        <v>09/09/2024</v>
      </c>
      <c r="C97" s="19">
        <f>'Data Mentah'!E94</f>
        <v>111</v>
      </c>
      <c r="D97" s="20">
        <f t="shared" si="14"/>
        <v>115.86291176073942</v>
      </c>
      <c r="E97" s="20">
        <f t="shared" si="15"/>
        <v>0.50209676740787723</v>
      </c>
      <c r="F97" s="20">
        <f t="shared" si="16"/>
        <v>116.40323528971047</v>
      </c>
      <c r="G97" s="20">
        <f t="shared" si="17"/>
        <v>-5.4032352897104658</v>
      </c>
      <c r="H97" s="20">
        <f t="shared" si="18"/>
        <v>5.4032352897104658</v>
      </c>
      <c r="I97" s="21">
        <f t="shared" si="19"/>
        <v>29.19495159597254</v>
      </c>
      <c r="J97" s="21">
        <f t="shared" si="20"/>
        <v>4.8677795402796997</v>
      </c>
    </row>
    <row r="98" spans="1:10" x14ac:dyDescent="0.35">
      <c r="A98" s="6">
        <v>90</v>
      </c>
      <c r="B98" s="19" t="str">
        <f>'Data Mentah'!B95</f>
        <v>16/09/2024</v>
      </c>
      <c r="C98" s="19">
        <f>'Data Mentah'!E95</f>
        <v>103</v>
      </c>
      <c r="D98" s="20">
        <f t="shared" si="14"/>
        <v>115.02850767533256</v>
      </c>
      <c r="E98" s="20">
        <f t="shared" si="15"/>
        <v>0.10114651156345622</v>
      </c>
      <c r="F98" s="20">
        <f t="shared" si="16"/>
        <v>116.3650085281473</v>
      </c>
      <c r="G98" s="20">
        <f t="shared" si="17"/>
        <v>-13.3650085281473</v>
      </c>
      <c r="H98" s="20">
        <f t="shared" si="18"/>
        <v>13.3650085281473</v>
      </c>
      <c r="I98" s="21">
        <f t="shared" si="19"/>
        <v>178.62345295745004</v>
      </c>
      <c r="J98" s="21">
        <f t="shared" si="20"/>
        <v>12.975736435094465</v>
      </c>
    </row>
    <row r="99" spans="1:10" x14ac:dyDescent="0.35">
      <c r="A99" s="6">
        <v>91</v>
      </c>
      <c r="B99" s="19" t="str">
        <f>'Data Mentah'!B96</f>
        <v>23/09/2024</v>
      </c>
      <c r="C99" s="19">
        <f>'Data Mentah'!E96</f>
        <v>107</v>
      </c>
      <c r="D99" s="20">
        <f t="shared" si="14"/>
        <v>114.31668876820642</v>
      </c>
      <c r="E99" s="20">
        <f t="shared" si="15"/>
        <v>-0.14274311404342385</v>
      </c>
      <c r="F99" s="20">
        <f t="shared" si="16"/>
        <v>115.12965418689602</v>
      </c>
      <c r="G99" s="20">
        <f t="shared" si="17"/>
        <v>-8.129654186896019</v>
      </c>
      <c r="H99" s="20">
        <f t="shared" si="18"/>
        <v>8.129654186896019</v>
      </c>
      <c r="I99" s="21">
        <f t="shared" si="19"/>
        <v>66.091277198515968</v>
      </c>
      <c r="J99" s="21">
        <f t="shared" si="20"/>
        <v>7.5978076513046906</v>
      </c>
    </row>
    <row r="100" spans="1:10" x14ac:dyDescent="0.35">
      <c r="A100" s="6">
        <v>92</v>
      </c>
      <c r="B100" s="19" t="str">
        <f>'Data Mentah'!B97</f>
        <v>30/09/2024</v>
      </c>
      <c r="C100" s="19">
        <f>'Data Mentah'!E97</f>
        <v>110</v>
      </c>
      <c r="D100" s="20">
        <f t="shared" si="14"/>
        <v>113.75655108874669</v>
      </c>
      <c r="E100" s="20">
        <f t="shared" si="15"/>
        <v>-0.26796148366831529</v>
      </c>
      <c r="F100" s="20">
        <f t="shared" si="16"/>
        <v>114.17394565416299</v>
      </c>
      <c r="G100" s="20">
        <f t="shared" si="17"/>
        <v>-4.173945654162992</v>
      </c>
      <c r="H100" s="20">
        <f t="shared" si="18"/>
        <v>4.173945654162992</v>
      </c>
      <c r="I100" s="21">
        <f t="shared" si="19"/>
        <v>17.421822323906127</v>
      </c>
      <c r="J100" s="21">
        <f t="shared" si="20"/>
        <v>3.7944960492390836</v>
      </c>
    </row>
    <row r="101" spans="1:10" x14ac:dyDescent="0.35">
      <c r="A101" s="6">
        <v>93</v>
      </c>
      <c r="B101" s="19" t="str">
        <f>'Data Mentah'!B98</f>
        <v>07/10/2024</v>
      </c>
      <c r="C101" s="19">
        <f>'Data Mentah'!E98</f>
        <v>115</v>
      </c>
      <c r="D101" s="20">
        <f t="shared" si="14"/>
        <v>113.63973064457053</v>
      </c>
      <c r="E101" s="20">
        <f t="shared" si="15"/>
        <v>-0.22261917182066751</v>
      </c>
      <c r="F101" s="20">
        <f t="shared" si="16"/>
        <v>113.48858960507837</v>
      </c>
      <c r="G101" s="20">
        <f t="shared" si="17"/>
        <v>1.5114103949216258</v>
      </c>
      <c r="H101" s="20">
        <f t="shared" si="18"/>
        <v>1.5114103949216258</v>
      </c>
      <c r="I101" s="21">
        <f t="shared" si="19"/>
        <v>2.2843613818771447</v>
      </c>
      <c r="J101" s="21">
        <f t="shared" si="20"/>
        <v>1.3142699086275007</v>
      </c>
    </row>
    <row r="102" spans="1:10" x14ac:dyDescent="0.35">
      <c r="A102" s="6">
        <v>94</v>
      </c>
      <c r="B102" s="19" t="str">
        <f>'Data Mentah'!B99</f>
        <v>14/10/2024</v>
      </c>
      <c r="C102" s="19">
        <f>'Data Mentah'!E99</f>
        <v>109</v>
      </c>
      <c r="D102" s="20">
        <f t="shared" si="14"/>
        <v>112.97540032547489</v>
      </c>
      <c r="E102" s="20">
        <f t="shared" si="15"/>
        <v>-0.35513251600315932</v>
      </c>
      <c r="F102" s="20">
        <f t="shared" si="16"/>
        <v>113.41711147274987</v>
      </c>
      <c r="G102" s="20">
        <f t="shared" si="17"/>
        <v>-4.4171114727498662</v>
      </c>
      <c r="H102" s="20">
        <f t="shared" si="18"/>
        <v>4.4171114727498662</v>
      </c>
      <c r="I102" s="21">
        <f t="shared" si="19"/>
        <v>19.510873762698491</v>
      </c>
      <c r="J102" s="21">
        <f t="shared" si="20"/>
        <v>4.0523958465595102</v>
      </c>
    </row>
    <row r="103" spans="1:10" x14ac:dyDescent="0.35">
      <c r="A103" s="6">
        <v>95</v>
      </c>
      <c r="B103" s="19" t="str">
        <f>'Data Mentah'!B100</f>
        <v>21/10/2024</v>
      </c>
      <c r="C103" s="19">
        <f>'Data Mentah'!E100</f>
        <v>117</v>
      </c>
      <c r="D103" s="20">
        <f t="shared" si="14"/>
        <v>113.05824102852458</v>
      </c>
      <c r="E103" s="20">
        <f t="shared" si="15"/>
        <v>-0.22374055028730647</v>
      </c>
      <c r="F103" s="20">
        <f t="shared" si="16"/>
        <v>112.62026780947174</v>
      </c>
      <c r="G103" s="20">
        <f t="shared" si="17"/>
        <v>4.3797321905282587</v>
      </c>
      <c r="H103" s="20">
        <f t="shared" si="18"/>
        <v>4.3797321905282587</v>
      </c>
      <c r="I103" s="21">
        <f t="shared" si="19"/>
        <v>19.182054060749458</v>
      </c>
      <c r="J103" s="21">
        <f t="shared" si="20"/>
        <v>3.7433608466053494</v>
      </c>
    </row>
    <row r="104" spans="1:10" x14ac:dyDescent="0.35">
      <c r="A104" s="6">
        <v>96</v>
      </c>
      <c r="B104" s="19" t="str">
        <f>'Data Mentah'!B101</f>
        <v>28/10/2024</v>
      </c>
      <c r="C104" s="19">
        <f>'Data Mentah'!E101</f>
        <v>112</v>
      </c>
      <c r="D104" s="20">
        <f t="shared" si="14"/>
        <v>112.75105043041356</v>
      </c>
      <c r="E104" s="20">
        <f t="shared" si="15"/>
        <v>-0.24877556463442069</v>
      </c>
      <c r="F104" s="20">
        <f t="shared" si="16"/>
        <v>112.83450047823727</v>
      </c>
      <c r="G104" s="20">
        <f t="shared" si="17"/>
        <v>-0.83450047823727402</v>
      </c>
      <c r="H104" s="20">
        <f t="shared" si="18"/>
        <v>0.83450047823727402</v>
      </c>
      <c r="I104" s="21">
        <f t="shared" si="19"/>
        <v>0.69639104817823905</v>
      </c>
      <c r="J104" s="21">
        <f t="shared" si="20"/>
        <v>0.74508971271185176</v>
      </c>
    </row>
    <row r="105" spans="1:10" x14ac:dyDescent="0.35">
      <c r="A105" s="6">
        <v>97</v>
      </c>
      <c r="B105" s="19" t="str">
        <f>'Data Mentah'!B102</f>
        <v>04/11/2024</v>
      </c>
      <c r="C105" s="19">
        <f>'Data Mentah'!E102</f>
        <v>103</v>
      </c>
      <c r="D105" s="20">
        <f t="shared" ref="D105:D136" si="21">$E$4*C105+(1-$E$4)*(D104+E104)</f>
        <v>111.55204737920123</v>
      </c>
      <c r="E105" s="20">
        <f t="shared" ref="E105:E136" si="22">$H$4*(D105-D104)+(1-$H$4)*E104</f>
        <v>-0.5338438106077934</v>
      </c>
      <c r="F105" s="20">
        <f t="shared" ref="F105:F113" si="23">D104+E104</f>
        <v>112.50227486577914</v>
      </c>
      <c r="G105" s="20">
        <f t="shared" ref="G105:G136" si="24">C105-F105</f>
        <v>-9.5022748657791425</v>
      </c>
      <c r="H105" s="20">
        <f t="shared" ref="H105:H136" si="25">ABS(G105)</f>
        <v>9.5022748657791425</v>
      </c>
      <c r="I105" s="21">
        <f t="shared" ref="I105:I113" si="26">G105^2</f>
        <v>90.293227624818016</v>
      </c>
      <c r="J105" s="21">
        <f t="shared" ref="J105:J113" si="27">ABS(G105/C105)*100</f>
        <v>9.2255095784263528</v>
      </c>
    </row>
    <row r="106" spans="1:10" x14ac:dyDescent="0.35">
      <c r="A106" s="6">
        <v>98</v>
      </c>
      <c r="B106" s="19" t="str">
        <f>'Data Mentah'!B103</f>
        <v>11/11/2024</v>
      </c>
      <c r="C106" s="19">
        <f>'Data Mentah'!E103</f>
        <v>120</v>
      </c>
      <c r="D106" s="20">
        <f t="shared" si="21"/>
        <v>111.9163832117341</v>
      </c>
      <c r="E106" s="20">
        <f t="shared" si="22"/>
        <v>-0.26438991766559339</v>
      </c>
      <c r="F106" s="20">
        <f t="shared" si="23"/>
        <v>111.01820356859344</v>
      </c>
      <c r="G106" s="20">
        <f t="shared" si="24"/>
        <v>8.9817964314065648</v>
      </c>
      <c r="H106" s="20">
        <f t="shared" si="25"/>
        <v>8.9817964314065648</v>
      </c>
      <c r="I106" s="21">
        <f t="shared" si="26"/>
        <v>80.672667135227698</v>
      </c>
      <c r="J106" s="21">
        <f t="shared" si="27"/>
        <v>7.4848303595054704</v>
      </c>
    </row>
    <row r="107" spans="1:10" x14ac:dyDescent="0.35">
      <c r="A107" s="6">
        <v>99</v>
      </c>
      <c r="B107" s="19" t="str">
        <f>'Data Mentah'!B104</f>
        <v>18/11/2024</v>
      </c>
      <c r="C107" s="19">
        <f>'Data Mentah'!E104</f>
        <v>113</v>
      </c>
      <c r="D107" s="20">
        <f t="shared" si="21"/>
        <v>111.78679396466165</v>
      </c>
      <c r="E107" s="20">
        <f t="shared" si="22"/>
        <v>-0.22394971648764897</v>
      </c>
      <c r="F107" s="20">
        <f t="shared" si="23"/>
        <v>111.6519932940685</v>
      </c>
      <c r="G107" s="20">
        <f t="shared" si="24"/>
        <v>1.3480067059314962</v>
      </c>
      <c r="H107" s="20">
        <f t="shared" si="25"/>
        <v>1.3480067059314962</v>
      </c>
      <c r="I107" s="21">
        <f t="shared" si="26"/>
        <v>1.8171220792362832</v>
      </c>
      <c r="J107" s="21">
        <f t="shared" si="27"/>
        <v>1.1929262884349523</v>
      </c>
    </row>
    <row r="108" spans="1:10" x14ac:dyDescent="0.35">
      <c r="A108" s="6">
        <v>100</v>
      </c>
      <c r="B108" s="19" t="str">
        <f>'Data Mentah'!B105</f>
        <v>25/11/2024</v>
      </c>
      <c r="C108" s="19">
        <f>'Data Mentah'!E105</f>
        <v>119</v>
      </c>
      <c r="D108" s="20">
        <f t="shared" si="21"/>
        <v>112.30655982335661</v>
      </c>
      <c r="E108" s="20">
        <f t="shared" si="22"/>
        <v>-8.3504393286840117E-4</v>
      </c>
      <c r="F108" s="20">
        <f t="shared" si="23"/>
        <v>111.562844248174</v>
      </c>
      <c r="G108" s="20">
        <f t="shared" si="24"/>
        <v>7.4371557518259976</v>
      </c>
      <c r="H108" s="20">
        <f t="shared" si="25"/>
        <v>7.4371557518259976</v>
      </c>
      <c r="I108" s="21">
        <f t="shared" si="26"/>
        <v>55.311285676918523</v>
      </c>
      <c r="J108" s="21">
        <f t="shared" si="27"/>
        <v>6.2497107158201661</v>
      </c>
    </row>
    <row r="109" spans="1:10" x14ac:dyDescent="0.35">
      <c r="A109" s="6">
        <v>101</v>
      </c>
      <c r="B109" s="19" t="str">
        <f>'Data Mentah'!B106</f>
        <v>02/12/2024</v>
      </c>
      <c r="C109" s="19">
        <f>'Data Mentah'!E106</f>
        <v>125</v>
      </c>
      <c r="D109" s="20">
        <f t="shared" si="21"/>
        <v>113.57515230148137</v>
      </c>
      <c r="E109" s="20">
        <f t="shared" si="22"/>
        <v>0.37999321268441988</v>
      </c>
      <c r="F109" s="20">
        <f t="shared" si="23"/>
        <v>112.30572477942374</v>
      </c>
      <c r="G109" s="20">
        <f t="shared" si="24"/>
        <v>12.694275220576259</v>
      </c>
      <c r="H109" s="20">
        <f t="shared" si="25"/>
        <v>12.694275220576259</v>
      </c>
      <c r="I109" s="21">
        <f t="shared" si="26"/>
        <v>161.14462337573642</v>
      </c>
      <c r="J109" s="21">
        <f t="shared" si="27"/>
        <v>10.155420176461007</v>
      </c>
    </row>
    <row r="110" spans="1:10" x14ac:dyDescent="0.35">
      <c r="A110" s="6">
        <v>102</v>
      </c>
      <c r="B110" s="19" t="str">
        <f>'Data Mentah'!B107</f>
        <v>09/12/2024</v>
      </c>
      <c r="C110" s="19">
        <f>'Data Mentah'!E107</f>
        <v>112</v>
      </c>
      <c r="D110" s="20">
        <f t="shared" si="21"/>
        <v>113.75963096274921</v>
      </c>
      <c r="E110" s="20">
        <f t="shared" si="22"/>
        <v>0.32133884725944772</v>
      </c>
      <c r="F110" s="20">
        <f t="shared" si="23"/>
        <v>113.95514551416579</v>
      </c>
      <c r="G110" s="20">
        <f t="shared" si="24"/>
        <v>-1.9551455141657925</v>
      </c>
      <c r="H110" s="20">
        <f t="shared" si="25"/>
        <v>1.9551455141657925</v>
      </c>
      <c r="I110" s="21">
        <f t="shared" si="26"/>
        <v>3.8225939815626213</v>
      </c>
      <c r="J110" s="21">
        <f t="shared" si="27"/>
        <v>1.7456656376480288</v>
      </c>
    </row>
    <row r="111" spans="1:10" x14ac:dyDescent="0.35">
      <c r="A111" s="6">
        <v>103</v>
      </c>
      <c r="B111" s="19" t="str">
        <f>'Data Mentah'!B108</f>
        <v>16/12/2024</v>
      </c>
      <c r="C111" s="19">
        <f>'Data Mentah'!E108</f>
        <v>116</v>
      </c>
      <c r="D111" s="20">
        <f t="shared" si="21"/>
        <v>114.27287282900781</v>
      </c>
      <c r="E111" s="20">
        <f t="shared" si="22"/>
        <v>0.37890975295919227</v>
      </c>
      <c r="F111" s="20">
        <f t="shared" si="23"/>
        <v>114.08096981000867</v>
      </c>
      <c r="G111" s="20">
        <f t="shared" si="24"/>
        <v>1.9190301899913322</v>
      </c>
      <c r="H111" s="20">
        <f t="shared" si="25"/>
        <v>1.9190301899913322</v>
      </c>
      <c r="I111" s="21">
        <f t="shared" si="26"/>
        <v>3.6826768700981689</v>
      </c>
      <c r="J111" s="21">
        <f t="shared" si="27"/>
        <v>1.654336370682183</v>
      </c>
    </row>
    <row r="112" spans="1:10" x14ac:dyDescent="0.35">
      <c r="A112" s="6">
        <v>104</v>
      </c>
      <c r="B112" s="19" t="str">
        <f>'Data Mentah'!B109</f>
        <v>23/12/2024</v>
      </c>
      <c r="C112" s="19">
        <f>'Data Mentah'!E109</f>
        <v>119</v>
      </c>
      <c r="D112" s="20">
        <f t="shared" si="21"/>
        <v>115.0866043237703</v>
      </c>
      <c r="E112" s="20">
        <f t="shared" si="22"/>
        <v>0.50935627550018248</v>
      </c>
      <c r="F112" s="20">
        <f t="shared" si="23"/>
        <v>114.651782581967</v>
      </c>
      <c r="G112" s="20">
        <f t="shared" si="24"/>
        <v>4.348217418033002</v>
      </c>
      <c r="H112" s="20">
        <f t="shared" si="25"/>
        <v>4.348217418033002</v>
      </c>
      <c r="I112" s="21">
        <f t="shared" si="26"/>
        <v>18.906994714485588</v>
      </c>
      <c r="J112" s="21">
        <f t="shared" si="27"/>
        <v>3.6539642168344559</v>
      </c>
    </row>
    <row r="113" spans="1:10" x14ac:dyDescent="0.35">
      <c r="A113" s="6">
        <v>105</v>
      </c>
      <c r="B113" s="19" t="str">
        <f>'Data Mentah'!B110</f>
        <v>30/12/2024</v>
      </c>
      <c r="C113" s="19">
        <f>'Data Mentah'!E110</f>
        <v>100</v>
      </c>
      <c r="D113" s="20">
        <f t="shared" si="21"/>
        <v>114.03636453934344</v>
      </c>
      <c r="E113" s="20">
        <f t="shared" si="22"/>
        <v>4.1477457522068439E-2</v>
      </c>
      <c r="F113" s="20">
        <f t="shared" si="23"/>
        <v>115.59596059927048</v>
      </c>
      <c r="G113" s="20">
        <f t="shared" si="24"/>
        <v>-15.595960599270484</v>
      </c>
      <c r="H113" s="20">
        <f t="shared" si="25"/>
        <v>15.595960599270484</v>
      </c>
      <c r="I113" s="21">
        <f t="shared" si="26"/>
        <v>243.23398701399734</v>
      </c>
      <c r="J113" s="21">
        <f t="shared" si="27"/>
        <v>15.595960599270484</v>
      </c>
    </row>
    <row r="115" spans="1:10" x14ac:dyDescent="0.35">
      <c r="A115" s="2" t="s">
        <v>178</v>
      </c>
      <c r="B115" s="2"/>
      <c r="C115" s="2"/>
      <c r="D115" s="2"/>
    </row>
    <row r="116" spans="1:10" x14ac:dyDescent="0.35">
      <c r="A116" s="1" t="s">
        <v>179</v>
      </c>
      <c r="B116" s="1"/>
      <c r="C116" s="1"/>
      <c r="D116" s="22">
        <f>AVERAGE(H93:H113)</f>
        <v>6.351540684084652</v>
      </c>
    </row>
    <row r="117" spans="1:10" x14ac:dyDescent="0.35">
      <c r="A117" s="1" t="s">
        <v>180</v>
      </c>
      <c r="B117" s="1"/>
      <c r="C117" s="1"/>
      <c r="D117" s="22">
        <f>AVERAGE(I93:I113)</f>
        <v>61.202656573540558</v>
      </c>
    </row>
    <row r="118" spans="1:10" x14ac:dyDescent="0.35">
      <c r="A118" s="1" t="s">
        <v>181</v>
      </c>
      <c r="B118" s="1"/>
      <c r="C118" s="1"/>
      <c r="D118" s="23">
        <f>AVERAGE(J93:J113)</f>
        <v>5.6328215545348428</v>
      </c>
    </row>
    <row r="119" spans="1:10" x14ac:dyDescent="0.35">
      <c r="A119" s="1" t="s">
        <v>182</v>
      </c>
      <c r="B119" s="1"/>
      <c r="C119" s="1"/>
      <c r="D119" s="24" t="str">
        <f>IF(D118&lt;10,"Sangat Baik",IF(D118&lt;20,"Baik",IF(D118&lt;=50,"Cukup","Rendah")))</f>
        <v>Sangat Baik</v>
      </c>
    </row>
    <row r="120" spans="1:10" x14ac:dyDescent="0.35">
      <c r="A120" s="1" t="s">
        <v>183</v>
      </c>
      <c r="B120" s="1"/>
      <c r="C120" s="1"/>
      <c r="D120" s="23">
        <f>D113+E113</f>
        <v>114.0778419968655</v>
      </c>
    </row>
    <row r="121" spans="1:10" x14ac:dyDescent="0.35">
      <c r="A121" s="1" t="s">
        <v>184</v>
      </c>
      <c r="B121" s="1"/>
      <c r="C121" s="1"/>
      <c r="D121" s="23">
        <f>AVERAGE(C9:C113)</f>
        <v>116.49523809523809</v>
      </c>
    </row>
  </sheetData>
  <mergeCells count="9">
    <mergeCell ref="A118:C118"/>
    <mergeCell ref="A119:C119"/>
    <mergeCell ref="A120:C120"/>
    <mergeCell ref="A121:C121"/>
    <mergeCell ref="A1:J1"/>
    <mergeCell ref="A2:J2"/>
    <mergeCell ref="A115:D115"/>
    <mergeCell ref="A116:C116"/>
    <mergeCell ref="A117:C117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21"/>
  <sheetViews>
    <sheetView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8.6328125" defaultRowHeight="14.5" x14ac:dyDescent="0.35"/>
  <cols>
    <col min="1" max="1" width="9" customWidth="1"/>
    <col min="2" max="2" width="12" customWidth="1"/>
    <col min="3" max="3" width="9" customWidth="1"/>
    <col min="4" max="6" width="11" customWidth="1"/>
    <col min="7" max="8" width="10" customWidth="1"/>
    <col min="9" max="9" width="11" customWidth="1"/>
    <col min="10" max="10" width="10" customWidth="1"/>
  </cols>
  <sheetData>
    <row r="1" spans="1:10" ht="18" x14ac:dyDescent="0.4">
      <c r="A1" s="3" t="s">
        <v>187</v>
      </c>
      <c r="B1" s="3"/>
      <c r="C1" s="3"/>
      <c r="D1" s="3"/>
      <c r="E1" s="3"/>
      <c r="F1" s="3"/>
      <c r="G1" s="3"/>
      <c r="H1" s="3"/>
      <c r="I1" s="3"/>
      <c r="J1" s="3"/>
    </row>
    <row r="2" spans="1:10" ht="27.75" customHeight="1" x14ac:dyDescent="0.35">
      <c r="A2" s="4" t="s">
        <v>163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35">
      <c r="A4" s="15" t="s">
        <v>164</v>
      </c>
      <c r="B4" s="16" t="s">
        <v>8</v>
      </c>
      <c r="D4" s="15" t="s">
        <v>165</v>
      </c>
      <c r="E4" s="17">
        <v>0.9</v>
      </c>
      <c r="G4" s="15" t="s">
        <v>166</v>
      </c>
      <c r="H4" s="17">
        <v>0.1</v>
      </c>
    </row>
    <row r="5" spans="1:10" x14ac:dyDescent="0.35">
      <c r="A5" s="15" t="s">
        <v>167</v>
      </c>
      <c r="B5" s="18">
        <f>'Data Mentah'!F5</f>
        <v>28</v>
      </c>
      <c r="D5" s="15" t="s">
        <v>168</v>
      </c>
      <c r="E5" s="17">
        <v>0</v>
      </c>
    </row>
    <row r="7" spans="1:10" x14ac:dyDescent="0.35">
      <c r="A7" s="5" t="s">
        <v>169</v>
      </c>
      <c r="B7" s="5" t="s">
        <v>4</v>
      </c>
      <c r="C7" s="5" t="s">
        <v>170</v>
      </c>
      <c r="D7" s="5" t="s">
        <v>171</v>
      </c>
      <c r="E7" s="5" t="s">
        <v>172</v>
      </c>
      <c r="F7" s="5" t="s">
        <v>173</v>
      </c>
      <c r="G7" s="5" t="s">
        <v>174</v>
      </c>
      <c r="H7" s="5" t="s">
        <v>175</v>
      </c>
      <c r="I7" s="5" t="s">
        <v>176</v>
      </c>
      <c r="J7" s="5" t="s">
        <v>177</v>
      </c>
    </row>
    <row r="8" spans="1:10" x14ac:dyDescent="0.35">
      <c r="A8" s="6">
        <v>0</v>
      </c>
      <c r="B8" s="19" t="str">
        <f>'Data Mentah'!B5</f>
        <v>26/12/2022</v>
      </c>
      <c r="C8" s="19">
        <f>'Data Mentah'!F5</f>
        <v>28</v>
      </c>
      <c r="D8" s="10">
        <f>$B$5</f>
        <v>28</v>
      </c>
      <c r="E8" s="10">
        <f>$E$5</f>
        <v>0</v>
      </c>
    </row>
    <row r="9" spans="1:10" x14ac:dyDescent="0.35">
      <c r="A9" s="6">
        <v>1</v>
      </c>
      <c r="B9" s="19" t="str">
        <f>'Data Mentah'!B6</f>
        <v>02/01/2023</v>
      </c>
      <c r="C9" s="19">
        <f>'Data Mentah'!F6</f>
        <v>80</v>
      </c>
      <c r="D9" s="20">
        <f t="shared" ref="D9:D40" si="0">$E$4*C9+(1-$E$4)*(D8+E8)</f>
        <v>74.8</v>
      </c>
      <c r="E9" s="20">
        <f t="shared" ref="E9:E40" si="1">$H$4*(D9-D8)+(1-$H$4)*E8</f>
        <v>4.68</v>
      </c>
      <c r="F9" s="20">
        <f t="shared" ref="F9:F40" si="2">D8+E8</f>
        <v>28</v>
      </c>
      <c r="G9" s="20">
        <f t="shared" ref="G9:G40" si="3">C9-F9</f>
        <v>52</v>
      </c>
      <c r="H9" s="20">
        <f t="shared" ref="H9:H40" si="4">ABS(G9)</f>
        <v>52</v>
      </c>
      <c r="I9" s="21">
        <f t="shared" ref="I9:I40" si="5">G9^2</f>
        <v>2704</v>
      </c>
      <c r="J9" s="21">
        <f t="shared" ref="J9:J40" si="6">ABS(G9/C9)*100</f>
        <v>65</v>
      </c>
    </row>
    <row r="10" spans="1:10" x14ac:dyDescent="0.35">
      <c r="A10" s="6">
        <v>2</v>
      </c>
      <c r="B10" s="19" t="str">
        <f>'Data Mentah'!B7</f>
        <v>09/01/2023</v>
      </c>
      <c r="C10" s="19">
        <f>'Data Mentah'!F7</f>
        <v>104</v>
      </c>
      <c r="D10" s="20">
        <f t="shared" si="0"/>
        <v>101.548</v>
      </c>
      <c r="E10" s="20">
        <f t="shared" si="1"/>
        <v>6.8868000000000009</v>
      </c>
      <c r="F10" s="20">
        <f t="shared" si="2"/>
        <v>79.47999999999999</v>
      </c>
      <c r="G10" s="20">
        <f t="shared" si="3"/>
        <v>24.52000000000001</v>
      </c>
      <c r="H10" s="20">
        <f t="shared" si="4"/>
        <v>24.52000000000001</v>
      </c>
      <c r="I10" s="21">
        <f t="shared" si="5"/>
        <v>601.23040000000049</v>
      </c>
      <c r="J10" s="21">
        <f t="shared" si="6"/>
        <v>23.576923076923087</v>
      </c>
    </row>
    <row r="11" spans="1:10" x14ac:dyDescent="0.35">
      <c r="A11" s="6">
        <v>3</v>
      </c>
      <c r="B11" s="19" t="str">
        <f>'Data Mentah'!B8</f>
        <v>16/01/2023</v>
      </c>
      <c r="C11" s="19">
        <f>'Data Mentah'!F8</f>
        <v>106</v>
      </c>
      <c r="D11" s="20">
        <f t="shared" si="0"/>
        <v>106.24348000000001</v>
      </c>
      <c r="E11" s="20">
        <f t="shared" si="1"/>
        <v>6.6676680000000017</v>
      </c>
      <c r="F11" s="20">
        <f t="shared" si="2"/>
        <v>108.4348</v>
      </c>
      <c r="G11" s="20">
        <f t="shared" si="3"/>
        <v>-2.4347999999999956</v>
      </c>
      <c r="H11" s="20">
        <f t="shared" si="4"/>
        <v>2.4347999999999956</v>
      </c>
      <c r="I11" s="21">
        <f t="shared" si="5"/>
        <v>5.9282510399999788</v>
      </c>
      <c r="J11" s="21">
        <f t="shared" si="6"/>
        <v>2.2969811320754676</v>
      </c>
    </row>
    <row r="12" spans="1:10" x14ac:dyDescent="0.35">
      <c r="A12" s="6">
        <v>4</v>
      </c>
      <c r="B12" s="19" t="str">
        <f>'Data Mentah'!B9</f>
        <v>23/01/2023</v>
      </c>
      <c r="C12" s="19">
        <f>'Data Mentah'!F9</f>
        <v>127</v>
      </c>
      <c r="D12" s="20">
        <f t="shared" si="0"/>
        <v>125.5911148</v>
      </c>
      <c r="E12" s="20">
        <f t="shared" si="1"/>
        <v>7.9356646800000004</v>
      </c>
      <c r="F12" s="20">
        <f t="shared" si="2"/>
        <v>112.91114800000001</v>
      </c>
      <c r="G12" s="20">
        <f t="shared" si="3"/>
        <v>14.088851999999989</v>
      </c>
      <c r="H12" s="20">
        <f t="shared" si="4"/>
        <v>14.088851999999989</v>
      </c>
      <c r="I12" s="21">
        <f t="shared" si="5"/>
        <v>198.49575067790369</v>
      </c>
      <c r="J12" s="21">
        <f t="shared" si="6"/>
        <v>11.093584251968496</v>
      </c>
    </row>
    <row r="13" spans="1:10" x14ac:dyDescent="0.35">
      <c r="A13" s="6">
        <v>5</v>
      </c>
      <c r="B13" s="19" t="str">
        <f>'Data Mentah'!B10</f>
        <v>30/01/2023</v>
      </c>
      <c r="C13" s="19">
        <f>'Data Mentah'!F10</f>
        <v>127</v>
      </c>
      <c r="D13" s="20">
        <f t="shared" si="0"/>
        <v>127.65267794799999</v>
      </c>
      <c r="E13" s="20">
        <f t="shared" si="1"/>
        <v>7.3482545267999999</v>
      </c>
      <c r="F13" s="20">
        <f t="shared" si="2"/>
        <v>133.52677947999999</v>
      </c>
      <c r="G13" s="20">
        <f t="shared" si="3"/>
        <v>-6.5267794799999876</v>
      </c>
      <c r="H13" s="20">
        <f t="shared" si="4"/>
        <v>6.5267794799999876</v>
      </c>
      <c r="I13" s="21">
        <f t="shared" si="5"/>
        <v>42.59885038054891</v>
      </c>
      <c r="J13" s="21">
        <f t="shared" si="6"/>
        <v>5.1391964409448727</v>
      </c>
    </row>
    <row r="14" spans="1:10" x14ac:dyDescent="0.35">
      <c r="A14" s="6">
        <v>6</v>
      </c>
      <c r="B14" s="19" t="str">
        <f>'Data Mentah'!B11</f>
        <v>06/02/2023</v>
      </c>
      <c r="C14" s="19">
        <f>'Data Mentah'!F11</f>
        <v>121</v>
      </c>
      <c r="D14" s="20">
        <f t="shared" si="0"/>
        <v>122.40009324748</v>
      </c>
      <c r="E14" s="20">
        <f t="shared" si="1"/>
        <v>6.0881706040680008</v>
      </c>
      <c r="F14" s="20">
        <f t="shared" si="2"/>
        <v>135.00093247479998</v>
      </c>
      <c r="G14" s="20">
        <f t="shared" si="3"/>
        <v>-14.000932474799981</v>
      </c>
      <c r="H14" s="20">
        <f t="shared" si="4"/>
        <v>14.000932474799981</v>
      </c>
      <c r="I14" s="21">
        <f t="shared" si="5"/>
        <v>196.02611016390873</v>
      </c>
      <c r="J14" s="21">
        <f t="shared" si="6"/>
        <v>11.571018574214859</v>
      </c>
    </row>
    <row r="15" spans="1:10" x14ac:dyDescent="0.35">
      <c r="A15" s="6">
        <v>7</v>
      </c>
      <c r="B15" s="19" t="str">
        <f>'Data Mentah'!B12</f>
        <v>13/02/2023</v>
      </c>
      <c r="C15" s="19">
        <f>'Data Mentah'!F12</f>
        <v>118</v>
      </c>
      <c r="D15" s="20">
        <f t="shared" si="0"/>
        <v>119.0488263851548</v>
      </c>
      <c r="E15" s="20">
        <f t="shared" si="1"/>
        <v>5.1442268574286807</v>
      </c>
      <c r="F15" s="20">
        <f t="shared" si="2"/>
        <v>128.488263851548</v>
      </c>
      <c r="G15" s="20">
        <f t="shared" si="3"/>
        <v>-10.488263851547998</v>
      </c>
      <c r="H15" s="20">
        <f t="shared" si="4"/>
        <v>10.488263851547998</v>
      </c>
      <c r="I15" s="21">
        <f t="shared" si="5"/>
        <v>110.00367861968844</v>
      </c>
      <c r="J15" s="21">
        <f t="shared" si="6"/>
        <v>8.8883591962271176</v>
      </c>
    </row>
    <row r="16" spans="1:10" x14ac:dyDescent="0.35">
      <c r="A16" s="6">
        <v>8</v>
      </c>
      <c r="B16" s="19" t="str">
        <f>'Data Mentah'!B13</f>
        <v>20/02/2023</v>
      </c>
      <c r="C16" s="19">
        <f>'Data Mentah'!F13</f>
        <v>114</v>
      </c>
      <c r="D16" s="20">
        <f t="shared" si="0"/>
        <v>115.01930532425835</v>
      </c>
      <c r="E16" s="20">
        <f t="shared" si="1"/>
        <v>4.2268520655961686</v>
      </c>
      <c r="F16" s="20">
        <f t="shared" si="2"/>
        <v>124.19305324258347</v>
      </c>
      <c r="G16" s="20">
        <f t="shared" si="3"/>
        <v>-10.193053242583474</v>
      </c>
      <c r="H16" s="20">
        <f t="shared" si="4"/>
        <v>10.193053242583474</v>
      </c>
      <c r="I16" s="21">
        <f t="shared" si="5"/>
        <v>103.89833440614147</v>
      </c>
      <c r="J16" s="21">
        <f t="shared" si="6"/>
        <v>8.9412747741960299</v>
      </c>
    </row>
    <row r="17" spans="1:10" x14ac:dyDescent="0.35">
      <c r="A17" s="6">
        <v>9</v>
      </c>
      <c r="B17" s="19" t="str">
        <f>'Data Mentah'!B14</f>
        <v>27/02/2023</v>
      </c>
      <c r="C17" s="19">
        <f>'Data Mentah'!F14</f>
        <v>111</v>
      </c>
      <c r="D17" s="20">
        <f t="shared" si="0"/>
        <v>111.82461573898546</v>
      </c>
      <c r="E17" s="20">
        <f t="shared" si="1"/>
        <v>3.484697900509262</v>
      </c>
      <c r="F17" s="20">
        <f t="shared" si="2"/>
        <v>119.24615738985452</v>
      </c>
      <c r="G17" s="20">
        <f t="shared" si="3"/>
        <v>-8.2461573898545169</v>
      </c>
      <c r="H17" s="20">
        <f t="shared" si="4"/>
        <v>8.2461573898545169</v>
      </c>
      <c r="I17" s="21">
        <f t="shared" si="5"/>
        <v>67.999111698252264</v>
      </c>
      <c r="J17" s="21">
        <f t="shared" si="6"/>
        <v>7.4289706214905564</v>
      </c>
    </row>
    <row r="18" spans="1:10" x14ac:dyDescent="0.35">
      <c r="A18" s="6">
        <v>10</v>
      </c>
      <c r="B18" s="19" t="str">
        <f>'Data Mentah'!B15</f>
        <v>06/03/2023</v>
      </c>
      <c r="C18" s="19">
        <f>'Data Mentah'!F15</f>
        <v>101</v>
      </c>
      <c r="D18" s="20">
        <f t="shared" si="0"/>
        <v>102.43093136394947</v>
      </c>
      <c r="E18" s="20">
        <f t="shared" si="1"/>
        <v>2.1968596729547372</v>
      </c>
      <c r="F18" s="20">
        <f t="shared" si="2"/>
        <v>115.30931363949472</v>
      </c>
      <c r="G18" s="20">
        <f t="shared" si="3"/>
        <v>-14.309313639494718</v>
      </c>
      <c r="H18" s="20">
        <f t="shared" si="4"/>
        <v>14.309313639494718</v>
      </c>
      <c r="I18" s="21">
        <f t="shared" si="5"/>
        <v>204.75645683342958</v>
      </c>
      <c r="J18" s="21">
        <f t="shared" si="6"/>
        <v>14.167637266826452</v>
      </c>
    </row>
    <row r="19" spans="1:10" x14ac:dyDescent="0.35">
      <c r="A19" s="6">
        <v>11</v>
      </c>
      <c r="B19" s="19" t="str">
        <f>'Data Mentah'!B16</f>
        <v>13/03/2023</v>
      </c>
      <c r="C19" s="19">
        <f>'Data Mentah'!F16</f>
        <v>99</v>
      </c>
      <c r="D19" s="20">
        <f t="shared" si="0"/>
        <v>99.562779103690431</v>
      </c>
      <c r="E19" s="20">
        <f t="shared" si="1"/>
        <v>1.6903584796333597</v>
      </c>
      <c r="F19" s="20">
        <f t="shared" si="2"/>
        <v>104.6277910369042</v>
      </c>
      <c r="G19" s="20">
        <f t="shared" si="3"/>
        <v>-5.627791036904199</v>
      </c>
      <c r="H19" s="20">
        <f t="shared" si="4"/>
        <v>5.627791036904199</v>
      </c>
      <c r="I19" s="21">
        <f t="shared" si="5"/>
        <v>31.672031955059239</v>
      </c>
      <c r="J19" s="21">
        <f t="shared" si="6"/>
        <v>5.6846374110143429</v>
      </c>
    </row>
    <row r="20" spans="1:10" x14ac:dyDescent="0.35">
      <c r="A20" s="6">
        <v>12</v>
      </c>
      <c r="B20" s="19" t="str">
        <f>'Data Mentah'!B17</f>
        <v>20/03/2023</v>
      </c>
      <c r="C20" s="19">
        <f>'Data Mentah'!F17</f>
        <v>108</v>
      </c>
      <c r="D20" s="20">
        <f t="shared" si="0"/>
        <v>107.32531375833238</v>
      </c>
      <c r="E20" s="20">
        <f t="shared" si="1"/>
        <v>2.2975760971342192</v>
      </c>
      <c r="F20" s="20">
        <f t="shared" si="2"/>
        <v>101.25313758332379</v>
      </c>
      <c r="G20" s="20">
        <f t="shared" si="3"/>
        <v>6.7468624166762083</v>
      </c>
      <c r="H20" s="20">
        <f t="shared" si="4"/>
        <v>6.7468624166762083</v>
      </c>
      <c r="I20" s="21">
        <f t="shared" si="5"/>
        <v>45.520152469557928</v>
      </c>
      <c r="J20" s="21">
        <f t="shared" si="6"/>
        <v>6.2470948302557483</v>
      </c>
    </row>
    <row r="21" spans="1:10" x14ac:dyDescent="0.35">
      <c r="A21" s="6">
        <v>13</v>
      </c>
      <c r="B21" s="19" t="str">
        <f>'Data Mentah'!B18</f>
        <v>27/03/2023</v>
      </c>
      <c r="C21" s="19">
        <f>'Data Mentah'!F18</f>
        <v>110</v>
      </c>
      <c r="D21" s="20">
        <f t="shared" si="0"/>
        <v>109.96228898554666</v>
      </c>
      <c r="E21" s="20">
        <f t="shared" si="1"/>
        <v>2.3315160101422254</v>
      </c>
      <c r="F21" s="20">
        <f t="shared" si="2"/>
        <v>109.62288985546661</v>
      </c>
      <c r="G21" s="20">
        <f t="shared" si="3"/>
        <v>0.37711014453338976</v>
      </c>
      <c r="H21" s="20">
        <f t="shared" si="4"/>
        <v>0.37711014453338976</v>
      </c>
      <c r="I21" s="21">
        <f t="shared" si="5"/>
        <v>0.14221206110999413</v>
      </c>
      <c r="J21" s="21">
        <f t="shared" si="6"/>
        <v>0.34282740412126345</v>
      </c>
    </row>
    <row r="22" spans="1:10" x14ac:dyDescent="0.35">
      <c r="A22" s="6">
        <v>14</v>
      </c>
      <c r="B22" s="19" t="str">
        <f>'Data Mentah'!B19</f>
        <v>03/04/2023</v>
      </c>
      <c r="C22" s="19">
        <f>'Data Mentah'!F19</f>
        <v>122</v>
      </c>
      <c r="D22" s="20">
        <f t="shared" si="0"/>
        <v>121.02938049956889</v>
      </c>
      <c r="E22" s="20">
        <f t="shared" si="1"/>
        <v>3.2050735605302254</v>
      </c>
      <c r="F22" s="20">
        <f t="shared" si="2"/>
        <v>112.29380499568889</v>
      </c>
      <c r="G22" s="20">
        <f t="shared" si="3"/>
        <v>9.7061950043111125</v>
      </c>
      <c r="H22" s="20">
        <f t="shared" si="4"/>
        <v>9.7061950043111125</v>
      </c>
      <c r="I22" s="21">
        <f t="shared" si="5"/>
        <v>94.210221461713999</v>
      </c>
      <c r="J22" s="21">
        <f t="shared" si="6"/>
        <v>7.9558975445173052</v>
      </c>
    </row>
    <row r="23" spans="1:10" x14ac:dyDescent="0.35">
      <c r="A23" s="6">
        <v>15</v>
      </c>
      <c r="B23" s="19" t="str">
        <f>'Data Mentah'!B20</f>
        <v>10/04/2023</v>
      </c>
      <c r="C23" s="19">
        <f>'Data Mentah'!F20</f>
        <v>120</v>
      </c>
      <c r="D23" s="20">
        <f t="shared" si="0"/>
        <v>120.4234454060099</v>
      </c>
      <c r="E23" s="20">
        <f t="shared" si="1"/>
        <v>2.8239726951213049</v>
      </c>
      <c r="F23" s="20">
        <f t="shared" si="2"/>
        <v>124.23445406009911</v>
      </c>
      <c r="G23" s="20">
        <f t="shared" si="3"/>
        <v>-4.234454060099111</v>
      </c>
      <c r="H23" s="20">
        <f t="shared" si="4"/>
        <v>4.234454060099111</v>
      </c>
      <c r="I23" s="21">
        <f t="shared" si="5"/>
        <v>17.930601187089845</v>
      </c>
      <c r="J23" s="21">
        <f t="shared" si="6"/>
        <v>3.528711716749259</v>
      </c>
    </row>
    <row r="24" spans="1:10" x14ac:dyDescent="0.35">
      <c r="A24" s="6">
        <v>16</v>
      </c>
      <c r="B24" s="19" t="str">
        <f>'Data Mentah'!B21</f>
        <v>17/04/2023</v>
      </c>
      <c r="C24" s="19">
        <f>'Data Mentah'!F21</f>
        <v>111</v>
      </c>
      <c r="D24" s="20">
        <f t="shared" si="0"/>
        <v>112.22474181011313</v>
      </c>
      <c r="E24" s="20">
        <f t="shared" si="1"/>
        <v>1.721705066019497</v>
      </c>
      <c r="F24" s="20">
        <f t="shared" si="2"/>
        <v>123.2474181011312</v>
      </c>
      <c r="G24" s="20">
        <f t="shared" si="3"/>
        <v>-12.247418101131203</v>
      </c>
      <c r="H24" s="20">
        <f t="shared" si="4"/>
        <v>12.247418101131203</v>
      </c>
      <c r="I24" s="21">
        <f t="shared" si="5"/>
        <v>149.99925014391624</v>
      </c>
      <c r="J24" s="21">
        <f t="shared" si="6"/>
        <v>11.0337100010191</v>
      </c>
    </row>
    <row r="25" spans="1:10" x14ac:dyDescent="0.35">
      <c r="A25" s="6">
        <v>17</v>
      </c>
      <c r="B25" s="19" t="str">
        <f>'Data Mentah'!B22</f>
        <v>24/04/2023</v>
      </c>
      <c r="C25" s="19">
        <f>'Data Mentah'!F22</f>
        <v>110</v>
      </c>
      <c r="D25" s="20">
        <f t="shared" si="0"/>
        <v>110.39464468761327</v>
      </c>
      <c r="E25" s="20">
        <f t="shared" si="1"/>
        <v>1.3665248471675608</v>
      </c>
      <c r="F25" s="20">
        <f t="shared" si="2"/>
        <v>113.94644687613263</v>
      </c>
      <c r="G25" s="20">
        <f t="shared" si="3"/>
        <v>-3.9464468761326259</v>
      </c>
      <c r="H25" s="20">
        <f t="shared" si="4"/>
        <v>3.9464468761326259</v>
      </c>
      <c r="I25" s="21">
        <f t="shared" si="5"/>
        <v>15.574442946136962</v>
      </c>
      <c r="J25" s="21">
        <f t="shared" si="6"/>
        <v>3.5876789783023875</v>
      </c>
    </row>
    <row r="26" spans="1:10" x14ac:dyDescent="0.35">
      <c r="A26" s="6">
        <v>18</v>
      </c>
      <c r="B26" s="19" t="str">
        <f>'Data Mentah'!B23</f>
        <v>01/05/2023</v>
      </c>
      <c r="C26" s="19">
        <f>'Data Mentah'!F23</f>
        <v>101</v>
      </c>
      <c r="D26" s="20">
        <f t="shared" si="0"/>
        <v>102.07611695347808</v>
      </c>
      <c r="E26" s="20">
        <f t="shared" si="1"/>
        <v>0.39801958903728596</v>
      </c>
      <c r="F26" s="20">
        <f t="shared" si="2"/>
        <v>111.76116953478082</v>
      </c>
      <c r="G26" s="20">
        <f t="shared" si="3"/>
        <v>-10.761169534780819</v>
      </c>
      <c r="H26" s="20">
        <f t="shared" si="4"/>
        <v>10.761169534780819</v>
      </c>
      <c r="I26" s="21">
        <f t="shared" si="5"/>
        <v>115.80276975629484</v>
      </c>
      <c r="J26" s="21">
        <f t="shared" si="6"/>
        <v>10.654623301763188</v>
      </c>
    </row>
    <row r="27" spans="1:10" x14ac:dyDescent="0.35">
      <c r="A27" s="6">
        <v>19</v>
      </c>
      <c r="B27" s="19" t="str">
        <f>'Data Mentah'!B24</f>
        <v>08/05/2023</v>
      </c>
      <c r="C27" s="19">
        <f>'Data Mentah'!F24</f>
        <v>108</v>
      </c>
      <c r="D27" s="20">
        <f t="shared" si="0"/>
        <v>107.44741365425153</v>
      </c>
      <c r="E27" s="20">
        <f t="shared" si="1"/>
        <v>0.89534730021090314</v>
      </c>
      <c r="F27" s="20">
        <f t="shared" si="2"/>
        <v>102.47413654251537</v>
      </c>
      <c r="G27" s="20">
        <f t="shared" si="3"/>
        <v>5.5258634574846326</v>
      </c>
      <c r="H27" s="20">
        <f t="shared" si="4"/>
        <v>5.5258634574846326</v>
      </c>
      <c r="I27" s="21">
        <f t="shared" si="5"/>
        <v>30.535166950764019</v>
      </c>
      <c r="J27" s="21">
        <f t="shared" si="6"/>
        <v>5.1165402384116963</v>
      </c>
    </row>
    <row r="28" spans="1:10" x14ac:dyDescent="0.35">
      <c r="A28" s="6">
        <v>20</v>
      </c>
      <c r="B28" s="19" t="str">
        <f>'Data Mentah'!B25</f>
        <v>15/05/2023</v>
      </c>
      <c r="C28" s="19">
        <f>'Data Mentah'!F25</f>
        <v>119</v>
      </c>
      <c r="D28" s="20">
        <f t="shared" si="0"/>
        <v>117.93427609544625</v>
      </c>
      <c r="E28" s="20">
        <f t="shared" si="1"/>
        <v>1.8544988143092846</v>
      </c>
      <c r="F28" s="20">
        <f t="shared" si="2"/>
        <v>108.34276095446243</v>
      </c>
      <c r="G28" s="20">
        <f t="shared" si="3"/>
        <v>10.657239045537565</v>
      </c>
      <c r="H28" s="20">
        <f t="shared" si="4"/>
        <v>10.657239045537565</v>
      </c>
      <c r="I28" s="21">
        <f t="shared" si="5"/>
        <v>113.57674407373044</v>
      </c>
      <c r="J28" s="21">
        <f t="shared" si="6"/>
        <v>8.9556630634769459</v>
      </c>
    </row>
    <row r="29" spans="1:10" x14ac:dyDescent="0.35">
      <c r="A29" s="6">
        <v>21</v>
      </c>
      <c r="B29" s="19" t="str">
        <f>'Data Mentah'!B26</f>
        <v>22/05/2023</v>
      </c>
      <c r="C29" s="19">
        <f>'Data Mentah'!F26</f>
        <v>124</v>
      </c>
      <c r="D29" s="20">
        <f t="shared" si="0"/>
        <v>123.57887749097556</v>
      </c>
      <c r="E29" s="20">
        <f t="shared" si="1"/>
        <v>2.2335090724312869</v>
      </c>
      <c r="F29" s="20">
        <f t="shared" si="2"/>
        <v>119.78877490975553</v>
      </c>
      <c r="G29" s="20">
        <f t="shared" si="3"/>
        <v>4.2112250902444686</v>
      </c>
      <c r="H29" s="20">
        <f t="shared" si="4"/>
        <v>4.2112250902444686</v>
      </c>
      <c r="I29" s="21">
        <f t="shared" si="5"/>
        <v>17.734416760704534</v>
      </c>
      <c r="J29" s="21">
        <f t="shared" si="6"/>
        <v>3.3961492663261845</v>
      </c>
    </row>
    <row r="30" spans="1:10" x14ac:dyDescent="0.35">
      <c r="A30" s="6">
        <v>22</v>
      </c>
      <c r="B30" s="19" t="str">
        <f>'Data Mentah'!B27</f>
        <v>29/05/2023</v>
      </c>
      <c r="C30" s="19">
        <f>'Data Mentah'!F27</f>
        <v>133</v>
      </c>
      <c r="D30" s="20">
        <f t="shared" si="0"/>
        <v>132.28123865634069</v>
      </c>
      <c r="E30" s="20">
        <f t="shared" si="1"/>
        <v>2.8803942817246719</v>
      </c>
      <c r="F30" s="20">
        <f t="shared" si="2"/>
        <v>125.81238656340685</v>
      </c>
      <c r="G30" s="20">
        <f t="shared" si="3"/>
        <v>7.1876134365931534</v>
      </c>
      <c r="H30" s="20">
        <f t="shared" si="4"/>
        <v>7.1876134365931534</v>
      </c>
      <c r="I30" s="21">
        <f t="shared" si="5"/>
        <v>51.661786913894439</v>
      </c>
      <c r="J30" s="21">
        <f t="shared" si="6"/>
        <v>5.4042206290174093</v>
      </c>
    </row>
    <row r="31" spans="1:10" x14ac:dyDescent="0.35">
      <c r="A31" s="6">
        <v>23</v>
      </c>
      <c r="B31" s="19" t="str">
        <f>'Data Mentah'!B28</f>
        <v>05/06/2023</v>
      </c>
      <c r="C31" s="19">
        <f>'Data Mentah'!F28</f>
        <v>135</v>
      </c>
      <c r="D31" s="20">
        <f t="shared" si="0"/>
        <v>135.01616329380653</v>
      </c>
      <c r="E31" s="20">
        <f t="shared" si="1"/>
        <v>2.8658473172987886</v>
      </c>
      <c r="F31" s="20">
        <f t="shared" si="2"/>
        <v>135.16163293806537</v>
      </c>
      <c r="G31" s="20">
        <f t="shared" si="3"/>
        <v>-0.16163293806536672</v>
      </c>
      <c r="H31" s="20">
        <f t="shared" si="4"/>
        <v>0.16163293806536672</v>
      </c>
      <c r="I31" s="21">
        <f t="shared" si="5"/>
        <v>2.6125206667642672E-2</v>
      </c>
      <c r="J31" s="21">
        <f t="shared" si="6"/>
        <v>0.11972810227064203</v>
      </c>
    </row>
    <row r="32" spans="1:10" x14ac:dyDescent="0.35">
      <c r="A32" s="6">
        <v>24</v>
      </c>
      <c r="B32" s="19" t="str">
        <f>'Data Mentah'!B29</f>
        <v>12/06/2023</v>
      </c>
      <c r="C32" s="19">
        <f>'Data Mentah'!F29</f>
        <v>125</v>
      </c>
      <c r="D32" s="20">
        <f t="shared" si="0"/>
        <v>126.28820106111053</v>
      </c>
      <c r="E32" s="20">
        <f t="shared" si="1"/>
        <v>1.7064663622993095</v>
      </c>
      <c r="F32" s="20">
        <f t="shared" si="2"/>
        <v>137.88201061110533</v>
      </c>
      <c r="G32" s="20">
        <f t="shared" si="3"/>
        <v>-12.882010611105329</v>
      </c>
      <c r="H32" s="20">
        <f t="shared" si="4"/>
        <v>12.882010611105329</v>
      </c>
      <c r="I32" s="21">
        <f t="shared" si="5"/>
        <v>165.9461973846303</v>
      </c>
      <c r="J32" s="21">
        <f t="shared" si="6"/>
        <v>10.305608488884262</v>
      </c>
    </row>
    <row r="33" spans="1:10" x14ac:dyDescent="0.35">
      <c r="A33" s="6">
        <v>25</v>
      </c>
      <c r="B33" s="19" t="str">
        <f>'Data Mentah'!B30</f>
        <v>19/06/2023</v>
      </c>
      <c r="C33" s="19">
        <f>'Data Mentah'!F30</f>
        <v>118</v>
      </c>
      <c r="D33" s="20">
        <f t="shared" si="0"/>
        <v>118.99946674234099</v>
      </c>
      <c r="E33" s="20">
        <f t="shared" si="1"/>
        <v>0.80694629419242436</v>
      </c>
      <c r="F33" s="20">
        <f t="shared" si="2"/>
        <v>127.99466742340984</v>
      </c>
      <c r="G33" s="20">
        <f t="shared" si="3"/>
        <v>-9.9946674234098367</v>
      </c>
      <c r="H33" s="20">
        <f t="shared" si="4"/>
        <v>9.9946674234098367</v>
      </c>
      <c r="I33" s="21">
        <f t="shared" si="5"/>
        <v>99.89337690456982</v>
      </c>
      <c r="J33" s="21">
        <f t="shared" si="6"/>
        <v>8.4700571384829129</v>
      </c>
    </row>
    <row r="34" spans="1:10" x14ac:dyDescent="0.35">
      <c r="A34" s="6">
        <v>26</v>
      </c>
      <c r="B34" s="19" t="str">
        <f>'Data Mentah'!B31</f>
        <v>26/06/2023</v>
      </c>
      <c r="C34" s="19">
        <f>'Data Mentah'!F31</f>
        <v>112</v>
      </c>
      <c r="D34" s="20">
        <f t="shared" si="0"/>
        <v>112.78064130365334</v>
      </c>
      <c r="E34" s="20">
        <f t="shared" si="1"/>
        <v>0.10436912090441741</v>
      </c>
      <c r="F34" s="20">
        <f t="shared" si="2"/>
        <v>119.80641303653341</v>
      </c>
      <c r="G34" s="20">
        <f t="shared" si="3"/>
        <v>-7.8064130365334137</v>
      </c>
      <c r="H34" s="20">
        <f t="shared" si="4"/>
        <v>7.8064130365334137</v>
      </c>
      <c r="I34" s="21">
        <f t="shared" si="5"/>
        <v>60.940084496958832</v>
      </c>
      <c r="J34" s="21">
        <f t="shared" si="6"/>
        <v>6.9700116397619762</v>
      </c>
    </row>
    <row r="35" spans="1:10" x14ac:dyDescent="0.35">
      <c r="A35" s="6">
        <v>27</v>
      </c>
      <c r="B35" s="19" t="str">
        <f>'Data Mentah'!B32</f>
        <v>03/07/2023</v>
      </c>
      <c r="C35" s="19">
        <f>'Data Mentah'!F32</f>
        <v>110</v>
      </c>
      <c r="D35" s="20">
        <f t="shared" si="0"/>
        <v>110.28850104245578</v>
      </c>
      <c r="E35" s="20">
        <f t="shared" si="1"/>
        <v>-0.15528181730578056</v>
      </c>
      <c r="F35" s="20">
        <f t="shared" si="2"/>
        <v>112.88501042455776</v>
      </c>
      <c r="G35" s="20">
        <f t="shared" si="3"/>
        <v>-2.8850104245577626</v>
      </c>
      <c r="H35" s="20">
        <f t="shared" si="4"/>
        <v>2.8850104245577626</v>
      </c>
      <c r="I35" s="21">
        <f t="shared" si="5"/>
        <v>8.3232851498069618</v>
      </c>
      <c r="J35" s="21">
        <f t="shared" si="6"/>
        <v>2.6227367495979657</v>
      </c>
    </row>
    <row r="36" spans="1:10" x14ac:dyDescent="0.35">
      <c r="A36" s="6">
        <v>28</v>
      </c>
      <c r="B36" s="19" t="str">
        <f>'Data Mentah'!B33</f>
        <v>10/07/2023</v>
      </c>
      <c r="C36" s="19">
        <f>'Data Mentah'!F33</f>
        <v>118</v>
      </c>
      <c r="D36" s="20">
        <f t="shared" si="0"/>
        <v>117.21332192251501</v>
      </c>
      <c r="E36" s="20">
        <f t="shared" si="1"/>
        <v>0.55272845243072055</v>
      </c>
      <c r="F36" s="20">
        <f t="shared" si="2"/>
        <v>110.13321922515</v>
      </c>
      <c r="G36" s="20">
        <f t="shared" si="3"/>
        <v>7.8667807748499996</v>
      </c>
      <c r="H36" s="20">
        <f t="shared" si="4"/>
        <v>7.8667807748499996</v>
      </c>
      <c r="I36" s="21">
        <f t="shared" si="5"/>
        <v>61.886239759549561</v>
      </c>
      <c r="J36" s="21">
        <f t="shared" si="6"/>
        <v>6.6667633685169498</v>
      </c>
    </row>
    <row r="37" spans="1:10" x14ac:dyDescent="0.35">
      <c r="A37" s="6">
        <v>29</v>
      </c>
      <c r="B37" s="19" t="str">
        <f>'Data Mentah'!B34</f>
        <v>17/07/2023</v>
      </c>
      <c r="C37" s="19">
        <f>'Data Mentah'!F34</f>
        <v>127</v>
      </c>
      <c r="D37" s="20">
        <f t="shared" si="0"/>
        <v>126.07660503749457</v>
      </c>
      <c r="E37" s="20">
        <f t="shared" si="1"/>
        <v>1.3837839186856051</v>
      </c>
      <c r="F37" s="20">
        <f t="shared" si="2"/>
        <v>117.76605037494573</v>
      </c>
      <c r="G37" s="20">
        <f t="shared" si="3"/>
        <v>9.2339496250542652</v>
      </c>
      <c r="H37" s="20">
        <f t="shared" si="4"/>
        <v>9.2339496250542652</v>
      </c>
      <c r="I37" s="21">
        <f t="shared" si="5"/>
        <v>85.265825678039803</v>
      </c>
      <c r="J37" s="21">
        <f t="shared" si="6"/>
        <v>7.270826476420682</v>
      </c>
    </row>
    <row r="38" spans="1:10" x14ac:dyDescent="0.35">
      <c r="A38" s="6">
        <v>30</v>
      </c>
      <c r="B38" s="19" t="str">
        <f>'Data Mentah'!B35</f>
        <v>24/07/2023</v>
      </c>
      <c r="C38" s="19">
        <f>'Data Mentah'!F35</f>
        <v>135</v>
      </c>
      <c r="D38" s="20">
        <f t="shared" si="0"/>
        <v>134.24603889561803</v>
      </c>
      <c r="E38" s="20">
        <f t="shared" si="1"/>
        <v>2.0623489126293904</v>
      </c>
      <c r="F38" s="20">
        <f t="shared" si="2"/>
        <v>127.46038895618018</v>
      </c>
      <c r="G38" s="20">
        <f t="shared" si="3"/>
        <v>7.5396110438198178</v>
      </c>
      <c r="H38" s="20">
        <f t="shared" si="4"/>
        <v>7.5396110438198178</v>
      </c>
      <c r="I38" s="21">
        <f t="shared" si="5"/>
        <v>56.845734692089763</v>
      </c>
      <c r="J38" s="21">
        <f t="shared" si="6"/>
        <v>5.5848970694961615</v>
      </c>
    </row>
    <row r="39" spans="1:10" x14ac:dyDescent="0.35">
      <c r="A39" s="6">
        <v>31</v>
      </c>
      <c r="B39" s="19" t="str">
        <f>'Data Mentah'!B36</f>
        <v>31/07/2023</v>
      </c>
      <c r="C39" s="19">
        <f>'Data Mentah'!F36</f>
        <v>134</v>
      </c>
      <c r="D39" s="20">
        <f t="shared" si="0"/>
        <v>134.23083878082474</v>
      </c>
      <c r="E39" s="20">
        <f t="shared" si="1"/>
        <v>1.8545940098871225</v>
      </c>
      <c r="F39" s="20">
        <f t="shared" si="2"/>
        <v>136.30838780824743</v>
      </c>
      <c r="G39" s="20">
        <f t="shared" si="3"/>
        <v>-2.3083878082474314</v>
      </c>
      <c r="H39" s="20">
        <f t="shared" si="4"/>
        <v>2.3083878082474314</v>
      </c>
      <c r="I39" s="21">
        <f t="shared" si="5"/>
        <v>5.3286542732653803</v>
      </c>
      <c r="J39" s="21">
        <f t="shared" si="6"/>
        <v>1.7226774688413666</v>
      </c>
    </row>
    <row r="40" spans="1:10" x14ac:dyDescent="0.35">
      <c r="A40" s="6">
        <v>32</v>
      </c>
      <c r="B40" s="19" t="str">
        <f>'Data Mentah'!B37</f>
        <v>07/08/2023</v>
      </c>
      <c r="C40" s="19">
        <f>'Data Mentah'!F37</f>
        <v>135</v>
      </c>
      <c r="D40" s="20">
        <f t="shared" si="0"/>
        <v>135.10854327907117</v>
      </c>
      <c r="E40" s="20">
        <f t="shared" si="1"/>
        <v>1.7569050587230532</v>
      </c>
      <c r="F40" s="20">
        <f t="shared" si="2"/>
        <v>136.08543279071185</v>
      </c>
      <c r="G40" s="20">
        <f t="shared" si="3"/>
        <v>-1.0854327907118488</v>
      </c>
      <c r="H40" s="20">
        <f t="shared" si="4"/>
        <v>1.0854327907118488</v>
      </c>
      <c r="I40" s="21">
        <f t="shared" si="5"/>
        <v>1.1781643431525122</v>
      </c>
      <c r="J40" s="21">
        <f t="shared" si="6"/>
        <v>0.80402428941618431</v>
      </c>
    </row>
    <row r="41" spans="1:10" x14ac:dyDescent="0.35">
      <c r="A41" s="6">
        <v>33</v>
      </c>
      <c r="B41" s="19" t="str">
        <f>'Data Mentah'!B38</f>
        <v>14/08/2023</v>
      </c>
      <c r="C41" s="19">
        <f>'Data Mentah'!F38</f>
        <v>127</v>
      </c>
      <c r="D41" s="20">
        <f t="shared" ref="D41:D72" si="7">$E$4*C41+(1-$E$4)*(D40+E40)</f>
        <v>127.98654483377942</v>
      </c>
      <c r="E41" s="20">
        <f t="shared" ref="E41:E72" si="8">$H$4*(D41-D40)+(1-$H$4)*E40</f>
        <v>0.86901470832157279</v>
      </c>
      <c r="F41" s="20">
        <f t="shared" ref="F41:F72" si="9">D40+E40</f>
        <v>136.86544833779422</v>
      </c>
      <c r="G41" s="20">
        <f t="shared" ref="G41:G72" si="10">C41-F41</f>
        <v>-9.8654483377942199</v>
      </c>
      <c r="H41" s="20">
        <f t="shared" ref="H41:H72" si="11">ABS(G41)</f>
        <v>9.8654483377942199</v>
      </c>
      <c r="I41" s="21">
        <f t="shared" ref="I41:I72" si="12">G41^2</f>
        <v>97.327070905686739</v>
      </c>
      <c r="J41" s="21">
        <f t="shared" ref="J41:J72" si="13">ABS(G41/C41)*100</f>
        <v>7.7680695573182827</v>
      </c>
    </row>
    <row r="42" spans="1:10" x14ac:dyDescent="0.35">
      <c r="A42" s="6">
        <v>34</v>
      </c>
      <c r="B42" s="19" t="str">
        <f>'Data Mentah'!B39</f>
        <v>21/08/2023</v>
      </c>
      <c r="C42" s="19">
        <f>'Data Mentah'!F39</f>
        <v>112</v>
      </c>
      <c r="D42" s="20">
        <f t="shared" si="7"/>
        <v>113.68555595421009</v>
      </c>
      <c r="E42" s="20">
        <f t="shared" si="8"/>
        <v>-0.64798565046751766</v>
      </c>
      <c r="F42" s="20">
        <f t="shared" si="9"/>
        <v>128.85555954210099</v>
      </c>
      <c r="G42" s="20">
        <f t="shared" si="10"/>
        <v>-16.855559542100991</v>
      </c>
      <c r="H42" s="20">
        <f t="shared" si="11"/>
        <v>16.855559542100991</v>
      </c>
      <c r="I42" s="21">
        <f t="shared" si="12"/>
        <v>284.10988747731176</v>
      </c>
      <c r="J42" s="21">
        <f t="shared" si="13"/>
        <v>15.049606734018742</v>
      </c>
    </row>
    <row r="43" spans="1:10" x14ac:dyDescent="0.35">
      <c r="A43" s="6">
        <v>35</v>
      </c>
      <c r="B43" s="19" t="str">
        <f>'Data Mentah'!B40</f>
        <v>28/08/2023</v>
      </c>
      <c r="C43" s="19">
        <f>'Data Mentah'!F40</f>
        <v>121</v>
      </c>
      <c r="D43" s="20">
        <f t="shared" si="7"/>
        <v>120.20375703037426</v>
      </c>
      <c r="E43" s="20">
        <f t="shared" si="8"/>
        <v>6.8633022195651594E-2</v>
      </c>
      <c r="F43" s="20">
        <f t="shared" si="9"/>
        <v>113.03757030374257</v>
      </c>
      <c r="G43" s="20">
        <f t="shared" si="10"/>
        <v>7.9624296962574306</v>
      </c>
      <c r="H43" s="20">
        <f t="shared" si="11"/>
        <v>7.9624296962574306</v>
      </c>
      <c r="I43" s="21">
        <f t="shared" si="12"/>
        <v>63.400286667842195</v>
      </c>
      <c r="J43" s="21">
        <f t="shared" si="13"/>
        <v>6.5805204101301085</v>
      </c>
    </row>
    <row r="44" spans="1:10" x14ac:dyDescent="0.35">
      <c r="A44" s="6">
        <v>36</v>
      </c>
      <c r="B44" s="19" t="str">
        <f>'Data Mentah'!B41</f>
        <v>04/09/2023</v>
      </c>
      <c r="C44" s="19">
        <f>'Data Mentah'!F41</f>
        <v>111</v>
      </c>
      <c r="D44" s="20">
        <f t="shared" si="7"/>
        <v>111.92723900525699</v>
      </c>
      <c r="E44" s="20">
        <f t="shared" si="8"/>
        <v>-0.7658820825356405</v>
      </c>
      <c r="F44" s="20">
        <f t="shared" si="9"/>
        <v>120.27239005256992</v>
      </c>
      <c r="G44" s="20">
        <f t="shared" si="10"/>
        <v>-9.2723900525699179</v>
      </c>
      <c r="H44" s="20">
        <f t="shared" si="11"/>
        <v>9.2723900525699179</v>
      </c>
      <c r="I44" s="21">
        <f t="shared" si="12"/>
        <v>85.977217286997558</v>
      </c>
      <c r="J44" s="21">
        <f t="shared" si="13"/>
        <v>8.3535045518647912</v>
      </c>
    </row>
    <row r="45" spans="1:10" x14ac:dyDescent="0.35">
      <c r="A45" s="6">
        <v>37</v>
      </c>
      <c r="B45" s="19" t="str">
        <f>'Data Mentah'!B42</f>
        <v>11/09/2023</v>
      </c>
      <c r="C45" s="19">
        <f>'Data Mentah'!F42</f>
        <v>113</v>
      </c>
      <c r="D45" s="20">
        <f t="shared" si="7"/>
        <v>112.81613569227214</v>
      </c>
      <c r="E45" s="20">
        <f t="shared" si="8"/>
        <v>-0.60040420558056162</v>
      </c>
      <c r="F45" s="20">
        <f t="shared" si="9"/>
        <v>111.16135692272135</v>
      </c>
      <c r="G45" s="20">
        <f t="shared" si="10"/>
        <v>1.8386430772786468</v>
      </c>
      <c r="H45" s="20">
        <f t="shared" si="11"/>
        <v>1.8386430772786468</v>
      </c>
      <c r="I45" s="21">
        <f t="shared" si="12"/>
        <v>3.3806083656246919</v>
      </c>
      <c r="J45" s="21">
        <f t="shared" si="13"/>
        <v>1.6271177675032273</v>
      </c>
    </row>
    <row r="46" spans="1:10" x14ac:dyDescent="0.35">
      <c r="A46" s="6">
        <v>38</v>
      </c>
      <c r="B46" s="19" t="str">
        <f>'Data Mentah'!B43</f>
        <v>18/09/2023</v>
      </c>
      <c r="C46" s="19">
        <f>'Data Mentah'!F43</f>
        <v>119</v>
      </c>
      <c r="D46" s="20">
        <f t="shared" si="7"/>
        <v>118.32157314866916</v>
      </c>
      <c r="E46" s="20">
        <f t="shared" si="8"/>
        <v>1.0179960617196393E-2</v>
      </c>
      <c r="F46" s="20">
        <f t="shared" si="9"/>
        <v>112.21573148669158</v>
      </c>
      <c r="G46" s="20">
        <f t="shared" si="10"/>
        <v>6.7842685133084188</v>
      </c>
      <c r="H46" s="20">
        <f t="shared" si="11"/>
        <v>6.7842685133084188</v>
      </c>
      <c r="I46" s="21">
        <f t="shared" si="12"/>
        <v>46.026299260668026</v>
      </c>
      <c r="J46" s="21">
        <f t="shared" si="13"/>
        <v>5.7010659775701003</v>
      </c>
    </row>
    <row r="47" spans="1:10" x14ac:dyDescent="0.35">
      <c r="A47" s="6">
        <v>39</v>
      </c>
      <c r="B47" s="19" t="str">
        <f>'Data Mentah'!B44</f>
        <v>25/09/2023</v>
      </c>
      <c r="C47" s="19">
        <f>'Data Mentah'!F44</f>
        <v>110</v>
      </c>
      <c r="D47" s="20">
        <f t="shared" si="7"/>
        <v>110.83317531092864</v>
      </c>
      <c r="E47" s="20">
        <f t="shared" si="8"/>
        <v>-0.73967781921857534</v>
      </c>
      <c r="F47" s="20">
        <f t="shared" si="9"/>
        <v>118.33175310928635</v>
      </c>
      <c r="G47" s="20">
        <f t="shared" si="10"/>
        <v>-8.3317531092863533</v>
      </c>
      <c r="H47" s="20">
        <f t="shared" si="11"/>
        <v>8.3317531092863533</v>
      </c>
      <c r="I47" s="21">
        <f t="shared" si="12"/>
        <v>69.418109874102811</v>
      </c>
      <c r="J47" s="21">
        <f t="shared" si="13"/>
        <v>7.5743210084421388</v>
      </c>
    </row>
    <row r="48" spans="1:10" x14ac:dyDescent="0.35">
      <c r="A48" s="6">
        <v>40</v>
      </c>
      <c r="B48" s="19" t="str">
        <f>'Data Mentah'!B45</f>
        <v>02/10/2023</v>
      </c>
      <c r="C48" s="19">
        <f>'Data Mentah'!F45</f>
        <v>107</v>
      </c>
      <c r="D48" s="20">
        <f t="shared" si="7"/>
        <v>107.30934974917101</v>
      </c>
      <c r="E48" s="20">
        <f t="shared" si="8"/>
        <v>-1.0180925934724812</v>
      </c>
      <c r="F48" s="20">
        <f t="shared" si="9"/>
        <v>110.09349749171007</v>
      </c>
      <c r="G48" s="20">
        <f t="shared" si="10"/>
        <v>-3.0934974917100675</v>
      </c>
      <c r="H48" s="20">
        <f t="shared" si="11"/>
        <v>3.0934974917100675</v>
      </c>
      <c r="I48" s="21">
        <f t="shared" si="12"/>
        <v>9.5697267312164787</v>
      </c>
      <c r="J48" s="21">
        <f t="shared" si="13"/>
        <v>2.8911191511309045</v>
      </c>
    </row>
    <row r="49" spans="1:10" x14ac:dyDescent="0.35">
      <c r="A49" s="6">
        <v>41</v>
      </c>
      <c r="B49" s="19" t="str">
        <f>'Data Mentah'!B46</f>
        <v>09/10/2023</v>
      </c>
      <c r="C49" s="19">
        <f>'Data Mentah'!F46</f>
        <v>91</v>
      </c>
      <c r="D49" s="20">
        <f t="shared" si="7"/>
        <v>92.529125715569862</v>
      </c>
      <c r="E49" s="20">
        <f t="shared" si="8"/>
        <v>-2.3943057374853476</v>
      </c>
      <c r="F49" s="20">
        <f t="shared" si="9"/>
        <v>106.29125715569853</v>
      </c>
      <c r="G49" s="20">
        <f t="shared" si="10"/>
        <v>-15.291257155698531</v>
      </c>
      <c r="H49" s="20">
        <f t="shared" si="11"/>
        <v>15.291257155698531</v>
      </c>
      <c r="I49" s="21">
        <f t="shared" si="12"/>
        <v>233.82254540170155</v>
      </c>
      <c r="J49" s="21">
        <f t="shared" si="13"/>
        <v>16.803579291976408</v>
      </c>
    </row>
    <row r="50" spans="1:10" x14ac:dyDescent="0.35">
      <c r="A50" s="6">
        <v>42</v>
      </c>
      <c r="B50" s="19" t="str">
        <f>'Data Mentah'!B47</f>
        <v>16/10/2023</v>
      </c>
      <c r="C50" s="19">
        <f>'Data Mentah'!F47</f>
        <v>87</v>
      </c>
      <c r="D50" s="20">
        <f t="shared" si="7"/>
        <v>87.313481997808452</v>
      </c>
      <c r="E50" s="20">
        <f t="shared" si="8"/>
        <v>-2.6764395355129542</v>
      </c>
      <c r="F50" s="20">
        <f t="shared" si="9"/>
        <v>90.134819978084508</v>
      </c>
      <c r="G50" s="20">
        <f t="shared" si="10"/>
        <v>-3.1348199780845079</v>
      </c>
      <c r="H50" s="20">
        <f t="shared" si="11"/>
        <v>3.1348199780845079</v>
      </c>
      <c r="I50" s="21">
        <f t="shared" si="12"/>
        <v>9.8270962949977552</v>
      </c>
      <c r="J50" s="21">
        <f t="shared" si="13"/>
        <v>3.6032413541201245</v>
      </c>
    </row>
    <row r="51" spans="1:10" x14ac:dyDescent="0.35">
      <c r="A51" s="6">
        <v>43</v>
      </c>
      <c r="B51" s="19" t="str">
        <f>'Data Mentah'!B48</f>
        <v>23/10/2023</v>
      </c>
      <c r="C51" s="19">
        <f>'Data Mentah'!F48</f>
        <v>87</v>
      </c>
      <c r="D51" s="20">
        <f t="shared" si="7"/>
        <v>86.763704246229551</v>
      </c>
      <c r="E51" s="20">
        <f t="shared" si="8"/>
        <v>-2.4637733571195488</v>
      </c>
      <c r="F51" s="20">
        <f t="shared" si="9"/>
        <v>84.637042462295497</v>
      </c>
      <c r="G51" s="20">
        <f t="shared" si="10"/>
        <v>2.3629575377045029</v>
      </c>
      <c r="H51" s="20">
        <f t="shared" si="11"/>
        <v>2.3629575377045029</v>
      </c>
      <c r="I51" s="21">
        <f t="shared" si="12"/>
        <v>5.5835683249945269</v>
      </c>
      <c r="J51" s="21">
        <f t="shared" si="13"/>
        <v>2.7160431467867849</v>
      </c>
    </row>
    <row r="52" spans="1:10" x14ac:dyDescent="0.35">
      <c r="A52" s="6">
        <v>44</v>
      </c>
      <c r="B52" s="19" t="str">
        <f>'Data Mentah'!B49</f>
        <v>30/10/2023</v>
      </c>
      <c r="C52" s="19">
        <f>'Data Mentah'!F49</f>
        <v>94</v>
      </c>
      <c r="D52" s="20">
        <f t="shared" si="7"/>
        <v>93.029993088911013</v>
      </c>
      <c r="E52" s="20">
        <f t="shared" si="8"/>
        <v>-1.5907671371394476</v>
      </c>
      <c r="F52" s="20">
        <f t="shared" si="9"/>
        <v>84.299930889110001</v>
      </c>
      <c r="G52" s="20">
        <f t="shared" si="10"/>
        <v>9.7000691108899986</v>
      </c>
      <c r="H52" s="20">
        <f t="shared" si="11"/>
        <v>9.7000691108899986</v>
      </c>
      <c r="I52" s="21">
        <f t="shared" si="12"/>
        <v>94.091340756042285</v>
      </c>
      <c r="J52" s="21">
        <f t="shared" si="13"/>
        <v>10.319222458393615</v>
      </c>
    </row>
    <row r="53" spans="1:10" x14ac:dyDescent="0.35">
      <c r="A53" s="6">
        <v>45</v>
      </c>
      <c r="B53" s="19" t="str">
        <f>'Data Mentah'!B50</f>
        <v>06/11/2023</v>
      </c>
      <c r="C53" s="19">
        <f>'Data Mentah'!F50</f>
        <v>102</v>
      </c>
      <c r="D53" s="20">
        <f t="shared" si="7"/>
        <v>100.94392259517716</v>
      </c>
      <c r="E53" s="20">
        <f t="shared" si="8"/>
        <v>-0.64029747279888838</v>
      </c>
      <c r="F53" s="20">
        <f t="shared" si="9"/>
        <v>91.439225951771562</v>
      </c>
      <c r="G53" s="20">
        <f t="shared" si="10"/>
        <v>10.560774048228438</v>
      </c>
      <c r="H53" s="20">
        <f t="shared" si="11"/>
        <v>10.560774048228438</v>
      </c>
      <c r="I53" s="21">
        <f t="shared" si="12"/>
        <v>111.52994849773528</v>
      </c>
      <c r="J53" s="21">
        <f t="shared" si="13"/>
        <v>10.353700047282782</v>
      </c>
    </row>
    <row r="54" spans="1:10" x14ac:dyDescent="0.35">
      <c r="A54" s="6">
        <v>46</v>
      </c>
      <c r="B54" s="19" t="str">
        <f>'Data Mentah'!B51</f>
        <v>13/11/2023</v>
      </c>
      <c r="C54" s="19">
        <f>'Data Mentah'!F51</f>
        <v>107</v>
      </c>
      <c r="D54" s="20">
        <f t="shared" si="7"/>
        <v>106.33036251223783</v>
      </c>
      <c r="E54" s="20">
        <f t="shared" si="8"/>
        <v>-3.7623733812932492E-2</v>
      </c>
      <c r="F54" s="20">
        <f t="shared" si="9"/>
        <v>100.30362512237826</v>
      </c>
      <c r="G54" s="20">
        <f t="shared" si="10"/>
        <v>6.6963748776217358</v>
      </c>
      <c r="H54" s="20">
        <f t="shared" si="11"/>
        <v>6.6963748776217358</v>
      </c>
      <c r="I54" s="21">
        <f t="shared" si="12"/>
        <v>44.841436501643514</v>
      </c>
      <c r="J54" s="21">
        <f t="shared" si="13"/>
        <v>6.2582942781511548</v>
      </c>
    </row>
    <row r="55" spans="1:10" x14ac:dyDescent="0.35">
      <c r="A55" s="6">
        <v>47</v>
      </c>
      <c r="B55" s="19" t="str">
        <f>'Data Mentah'!B52</f>
        <v>20/11/2023</v>
      </c>
      <c r="C55" s="19">
        <f>'Data Mentah'!F52</f>
        <v>120</v>
      </c>
      <c r="D55" s="20">
        <f t="shared" si="7"/>
        <v>118.62927387784248</v>
      </c>
      <c r="E55" s="20">
        <f t="shared" si="8"/>
        <v>1.1960297761288261</v>
      </c>
      <c r="F55" s="20">
        <f t="shared" si="9"/>
        <v>106.29273877842489</v>
      </c>
      <c r="G55" s="20">
        <f t="shared" si="10"/>
        <v>13.707261221575109</v>
      </c>
      <c r="H55" s="20">
        <f t="shared" si="11"/>
        <v>13.707261221575109</v>
      </c>
      <c r="I55" s="21">
        <f t="shared" si="12"/>
        <v>187.88901019649677</v>
      </c>
      <c r="J55" s="21">
        <f t="shared" si="13"/>
        <v>11.422717684645924</v>
      </c>
    </row>
    <row r="56" spans="1:10" x14ac:dyDescent="0.35">
      <c r="A56" s="6">
        <v>48</v>
      </c>
      <c r="B56" s="19" t="str">
        <f>'Data Mentah'!B53</f>
        <v>27/11/2023</v>
      </c>
      <c r="C56" s="19">
        <f>'Data Mentah'!F53</f>
        <v>122</v>
      </c>
      <c r="D56" s="20">
        <f t="shared" si="7"/>
        <v>121.78253036539712</v>
      </c>
      <c r="E56" s="20">
        <f t="shared" si="8"/>
        <v>1.3917524472714078</v>
      </c>
      <c r="F56" s="20">
        <f t="shared" si="9"/>
        <v>119.8253036539713</v>
      </c>
      <c r="G56" s="20">
        <f t="shared" si="10"/>
        <v>2.1746963460286963</v>
      </c>
      <c r="H56" s="20">
        <f t="shared" si="11"/>
        <v>2.1746963460286963</v>
      </c>
      <c r="I56" s="21">
        <f t="shared" si="12"/>
        <v>4.7293041974305634</v>
      </c>
      <c r="J56" s="21">
        <f t="shared" si="13"/>
        <v>1.7825379885481119</v>
      </c>
    </row>
    <row r="57" spans="1:10" x14ac:dyDescent="0.35">
      <c r="A57" s="6">
        <v>49</v>
      </c>
      <c r="B57" s="19" t="str">
        <f>'Data Mentah'!B54</f>
        <v>04/12/2023</v>
      </c>
      <c r="C57" s="19">
        <f>'Data Mentah'!F54</f>
        <v>130</v>
      </c>
      <c r="D57" s="20">
        <f t="shared" si="7"/>
        <v>129.31742828126684</v>
      </c>
      <c r="E57" s="20">
        <f t="shared" si="8"/>
        <v>2.0060669941312392</v>
      </c>
      <c r="F57" s="20">
        <f t="shared" si="9"/>
        <v>123.17428281266854</v>
      </c>
      <c r="G57" s="20">
        <f t="shared" si="10"/>
        <v>6.8257171873314633</v>
      </c>
      <c r="H57" s="20">
        <f t="shared" si="11"/>
        <v>6.8257171873314633</v>
      </c>
      <c r="I57" s="21">
        <f t="shared" si="12"/>
        <v>46.590415121432144</v>
      </c>
      <c r="J57" s="21">
        <f t="shared" si="13"/>
        <v>5.2505516825626639</v>
      </c>
    </row>
    <row r="58" spans="1:10" x14ac:dyDescent="0.35">
      <c r="A58" s="6">
        <v>50</v>
      </c>
      <c r="B58" s="19" t="str">
        <f>'Data Mentah'!B55</f>
        <v>11/12/2023</v>
      </c>
      <c r="C58" s="19">
        <f>'Data Mentah'!F55</f>
        <v>138</v>
      </c>
      <c r="D58" s="20">
        <f t="shared" si="7"/>
        <v>137.3323495275398</v>
      </c>
      <c r="E58" s="20">
        <f t="shared" si="8"/>
        <v>2.6069524193454114</v>
      </c>
      <c r="F58" s="20">
        <f t="shared" si="9"/>
        <v>131.32349527539807</v>
      </c>
      <c r="G58" s="20">
        <f t="shared" si="10"/>
        <v>6.6765047246019265</v>
      </c>
      <c r="H58" s="20">
        <f t="shared" si="11"/>
        <v>6.6765047246019265</v>
      </c>
      <c r="I58" s="21">
        <f t="shared" si="12"/>
        <v>44.575715337631848</v>
      </c>
      <c r="J58" s="21">
        <f t="shared" si="13"/>
        <v>4.8380469018854537</v>
      </c>
    </row>
    <row r="59" spans="1:10" x14ac:dyDescent="0.35">
      <c r="A59" s="6">
        <v>51</v>
      </c>
      <c r="B59" s="19" t="str">
        <f>'Data Mentah'!B56</f>
        <v>18/12/2023</v>
      </c>
      <c r="C59" s="19">
        <f>'Data Mentah'!F56</f>
        <v>124</v>
      </c>
      <c r="D59" s="20">
        <f t="shared" si="7"/>
        <v>125.59393019468853</v>
      </c>
      <c r="E59" s="20">
        <f t="shared" si="8"/>
        <v>1.1724152441257425</v>
      </c>
      <c r="F59" s="20">
        <f t="shared" si="9"/>
        <v>139.93930194688522</v>
      </c>
      <c r="G59" s="20">
        <f t="shared" si="10"/>
        <v>-15.939301946885223</v>
      </c>
      <c r="H59" s="20">
        <f t="shared" si="11"/>
        <v>15.939301946885223</v>
      </c>
      <c r="I59" s="21">
        <f t="shared" si="12"/>
        <v>254.06134655397906</v>
      </c>
      <c r="J59" s="21">
        <f t="shared" si="13"/>
        <v>12.854275763617116</v>
      </c>
    </row>
    <row r="60" spans="1:10" x14ac:dyDescent="0.35">
      <c r="A60" s="6">
        <v>52</v>
      </c>
      <c r="B60" s="19" t="str">
        <f>'Data Mentah'!B57</f>
        <v>25/12/2023</v>
      </c>
      <c r="C60" s="19">
        <f>'Data Mentah'!F57</f>
        <v>125</v>
      </c>
      <c r="D60" s="20">
        <f t="shared" si="7"/>
        <v>125.17663454388142</v>
      </c>
      <c r="E60" s="20">
        <f t="shared" si="8"/>
        <v>1.0134441546324577</v>
      </c>
      <c r="F60" s="20">
        <f t="shared" si="9"/>
        <v>126.76634543881427</v>
      </c>
      <c r="G60" s="20">
        <f t="shared" si="10"/>
        <v>-1.7663454388142696</v>
      </c>
      <c r="H60" s="20">
        <f t="shared" si="11"/>
        <v>1.7663454388142696</v>
      </c>
      <c r="I60" s="21">
        <f t="shared" si="12"/>
        <v>3.119976209219975</v>
      </c>
      <c r="J60" s="21">
        <f t="shared" si="13"/>
        <v>1.4130763510514157</v>
      </c>
    </row>
    <row r="61" spans="1:10" x14ac:dyDescent="0.35">
      <c r="A61" s="6">
        <v>53</v>
      </c>
      <c r="B61" s="19" t="str">
        <f>'Data Mentah'!B58</f>
        <v>01/01/2024</v>
      </c>
      <c r="C61" s="19">
        <f>'Data Mentah'!F58</f>
        <v>116</v>
      </c>
      <c r="D61" s="20">
        <f t="shared" si="7"/>
        <v>117.01900786985139</v>
      </c>
      <c r="E61" s="20">
        <f t="shared" si="8"/>
        <v>9.6337071766209204E-2</v>
      </c>
      <c r="F61" s="20">
        <f t="shared" si="9"/>
        <v>126.19007869851387</v>
      </c>
      <c r="G61" s="20">
        <f t="shared" si="10"/>
        <v>-10.190078698513872</v>
      </c>
      <c r="H61" s="20">
        <f t="shared" si="11"/>
        <v>10.190078698513872</v>
      </c>
      <c r="I61" s="21">
        <f t="shared" si="12"/>
        <v>103.83770388190618</v>
      </c>
      <c r="J61" s="21">
        <f t="shared" si="13"/>
        <v>8.7845506021671316</v>
      </c>
    </row>
    <row r="62" spans="1:10" x14ac:dyDescent="0.35">
      <c r="A62" s="6">
        <v>54</v>
      </c>
      <c r="B62" s="19" t="str">
        <f>'Data Mentah'!B59</f>
        <v>08/01/2024</v>
      </c>
      <c r="C62" s="19">
        <f>'Data Mentah'!F59</f>
        <v>106</v>
      </c>
      <c r="D62" s="20">
        <f t="shared" si="7"/>
        <v>107.11153449416176</v>
      </c>
      <c r="E62" s="20">
        <f t="shared" si="8"/>
        <v>-0.90404397297937511</v>
      </c>
      <c r="F62" s="20">
        <f t="shared" si="9"/>
        <v>117.11534494161761</v>
      </c>
      <c r="G62" s="20">
        <f t="shared" si="10"/>
        <v>-11.115344941617607</v>
      </c>
      <c r="H62" s="20">
        <f t="shared" si="11"/>
        <v>11.115344941617607</v>
      </c>
      <c r="I62" s="21">
        <f t="shared" si="12"/>
        <v>123.55089317114412</v>
      </c>
      <c r="J62" s="21">
        <f t="shared" si="13"/>
        <v>10.486174473224159</v>
      </c>
    </row>
    <row r="63" spans="1:10" x14ac:dyDescent="0.35">
      <c r="A63" s="6">
        <v>55</v>
      </c>
      <c r="B63" s="19" t="str">
        <f>'Data Mentah'!B60</f>
        <v>15/01/2024</v>
      </c>
      <c r="C63" s="19">
        <f>'Data Mentah'!F60</f>
        <v>110</v>
      </c>
      <c r="D63" s="20">
        <f t="shared" si="7"/>
        <v>109.62074905211824</v>
      </c>
      <c r="E63" s="20">
        <f t="shared" si="8"/>
        <v>-0.56271811988578935</v>
      </c>
      <c r="F63" s="20">
        <f t="shared" si="9"/>
        <v>106.20749052118238</v>
      </c>
      <c r="G63" s="20">
        <f t="shared" si="10"/>
        <v>3.792509478817621</v>
      </c>
      <c r="H63" s="20">
        <f t="shared" si="11"/>
        <v>3.792509478817621</v>
      </c>
      <c r="I63" s="21">
        <f t="shared" si="12"/>
        <v>14.383128146921504</v>
      </c>
      <c r="J63" s="21">
        <f t="shared" si="13"/>
        <v>3.4477358898342012</v>
      </c>
    </row>
    <row r="64" spans="1:10" x14ac:dyDescent="0.35">
      <c r="A64" s="6">
        <v>56</v>
      </c>
      <c r="B64" s="19" t="str">
        <f>'Data Mentah'!B61</f>
        <v>22/01/2024</v>
      </c>
      <c r="C64" s="19">
        <f>'Data Mentah'!F61</f>
        <v>114</v>
      </c>
      <c r="D64" s="20">
        <f t="shared" si="7"/>
        <v>113.50580309322325</v>
      </c>
      <c r="E64" s="20">
        <f t="shared" si="8"/>
        <v>-0.11794090378670968</v>
      </c>
      <c r="F64" s="20">
        <f t="shared" si="9"/>
        <v>109.05803093223246</v>
      </c>
      <c r="G64" s="20">
        <f t="shared" si="10"/>
        <v>4.9419690677675447</v>
      </c>
      <c r="H64" s="20">
        <f t="shared" si="11"/>
        <v>4.9419690677675447</v>
      </c>
      <c r="I64" s="21">
        <f t="shared" si="12"/>
        <v>24.423058266771214</v>
      </c>
      <c r="J64" s="21">
        <f t="shared" si="13"/>
        <v>4.3350605857610036</v>
      </c>
    </row>
    <row r="65" spans="1:10" x14ac:dyDescent="0.35">
      <c r="A65" s="6">
        <v>57</v>
      </c>
      <c r="B65" s="19" t="str">
        <f>'Data Mentah'!B62</f>
        <v>29/01/2024</v>
      </c>
      <c r="C65" s="19">
        <f>'Data Mentah'!F62</f>
        <v>119</v>
      </c>
      <c r="D65" s="20">
        <f t="shared" si="7"/>
        <v>118.43878621894366</v>
      </c>
      <c r="E65" s="20">
        <f t="shared" si="8"/>
        <v>0.38715149916400249</v>
      </c>
      <c r="F65" s="20">
        <f t="shared" si="9"/>
        <v>113.38786218943655</v>
      </c>
      <c r="G65" s="20">
        <f t="shared" si="10"/>
        <v>5.6121378105634534</v>
      </c>
      <c r="H65" s="20">
        <f t="shared" si="11"/>
        <v>5.6121378105634534</v>
      </c>
      <c r="I65" s="21">
        <f t="shared" si="12"/>
        <v>31.496090804755951</v>
      </c>
      <c r="J65" s="21">
        <f t="shared" si="13"/>
        <v>4.7160821937508013</v>
      </c>
    </row>
    <row r="66" spans="1:10" x14ac:dyDescent="0.35">
      <c r="A66" s="6">
        <v>58</v>
      </c>
      <c r="B66" s="19" t="str">
        <f>'Data Mentah'!B63</f>
        <v>05/02/2024</v>
      </c>
      <c r="C66" s="19">
        <f>'Data Mentah'!F63</f>
        <v>120</v>
      </c>
      <c r="D66" s="20">
        <f t="shared" si="7"/>
        <v>119.88259377181076</v>
      </c>
      <c r="E66" s="20">
        <f t="shared" si="8"/>
        <v>0.49281710453431216</v>
      </c>
      <c r="F66" s="20">
        <f t="shared" si="9"/>
        <v>118.82593771810767</v>
      </c>
      <c r="G66" s="20">
        <f t="shared" si="10"/>
        <v>1.1740622818923327</v>
      </c>
      <c r="H66" s="20">
        <f t="shared" si="11"/>
        <v>1.1740622818923327</v>
      </c>
      <c r="I66" s="21">
        <f t="shared" si="12"/>
        <v>1.3784222417622314</v>
      </c>
      <c r="J66" s="21">
        <f t="shared" si="13"/>
        <v>0.9783852349102774</v>
      </c>
    </row>
    <row r="67" spans="1:10" x14ac:dyDescent="0.35">
      <c r="A67" s="6">
        <v>59</v>
      </c>
      <c r="B67" s="19" t="str">
        <f>'Data Mentah'!B64</f>
        <v>12/02/2024</v>
      </c>
      <c r="C67" s="19">
        <f>'Data Mentah'!F64</f>
        <v>118</v>
      </c>
      <c r="D67" s="20">
        <f t="shared" si="7"/>
        <v>118.23754108763451</v>
      </c>
      <c r="E67" s="20">
        <f t="shared" si="8"/>
        <v>0.27903012566325597</v>
      </c>
      <c r="F67" s="20">
        <f t="shared" si="9"/>
        <v>120.37541087634507</v>
      </c>
      <c r="G67" s="20">
        <f t="shared" si="10"/>
        <v>-2.3754108763450716</v>
      </c>
      <c r="H67" s="20">
        <f t="shared" si="11"/>
        <v>2.3754108763450716</v>
      </c>
      <c r="I67" s="21">
        <f t="shared" si="12"/>
        <v>5.6425768314584612</v>
      </c>
      <c r="J67" s="21">
        <f t="shared" si="13"/>
        <v>2.0130600646992134</v>
      </c>
    </row>
    <row r="68" spans="1:10" x14ac:dyDescent="0.35">
      <c r="A68" s="6">
        <v>60</v>
      </c>
      <c r="B68" s="19" t="str">
        <f>'Data Mentah'!B65</f>
        <v>19/02/2024</v>
      </c>
      <c r="C68" s="19">
        <f>'Data Mentah'!F65</f>
        <v>111</v>
      </c>
      <c r="D68" s="20">
        <f t="shared" si="7"/>
        <v>111.75165712132979</v>
      </c>
      <c r="E68" s="20">
        <f t="shared" si="8"/>
        <v>-0.39746128353354226</v>
      </c>
      <c r="F68" s="20">
        <f t="shared" si="9"/>
        <v>118.51657121329777</v>
      </c>
      <c r="G68" s="20">
        <f t="shared" si="10"/>
        <v>-7.516571213297766</v>
      </c>
      <c r="H68" s="20">
        <f t="shared" si="11"/>
        <v>7.516571213297766</v>
      </c>
      <c r="I68" s="21">
        <f t="shared" si="12"/>
        <v>56.498842804576647</v>
      </c>
      <c r="J68" s="21">
        <f t="shared" si="13"/>
        <v>6.7716857777457351</v>
      </c>
    </row>
    <row r="69" spans="1:10" x14ac:dyDescent="0.35">
      <c r="A69" s="6">
        <v>61</v>
      </c>
      <c r="B69" s="19" t="str">
        <f>'Data Mentah'!B66</f>
        <v>26/02/2024</v>
      </c>
      <c r="C69" s="19">
        <f>'Data Mentah'!F66</f>
        <v>110</v>
      </c>
      <c r="D69" s="20">
        <f t="shared" si="7"/>
        <v>110.13541958377962</v>
      </c>
      <c r="E69" s="20">
        <f t="shared" si="8"/>
        <v>-0.51933890893520429</v>
      </c>
      <c r="F69" s="20">
        <f t="shared" si="9"/>
        <v>111.35419583779624</v>
      </c>
      <c r="G69" s="20">
        <f t="shared" si="10"/>
        <v>-1.3541958377962402</v>
      </c>
      <c r="H69" s="20">
        <f t="shared" si="11"/>
        <v>1.3541958377962402</v>
      </c>
      <c r="I69" s="21">
        <f t="shared" si="12"/>
        <v>1.833846367104661</v>
      </c>
      <c r="J69" s="21">
        <f t="shared" si="13"/>
        <v>1.2310871252693094</v>
      </c>
    </row>
    <row r="70" spans="1:10" x14ac:dyDescent="0.35">
      <c r="A70" s="6">
        <v>62</v>
      </c>
      <c r="B70" s="19" t="str">
        <f>'Data Mentah'!B67</f>
        <v>04/03/2024</v>
      </c>
      <c r="C70" s="19">
        <f>'Data Mentah'!F67</f>
        <v>117</v>
      </c>
      <c r="D70" s="20">
        <f t="shared" si="7"/>
        <v>116.26160806748443</v>
      </c>
      <c r="E70" s="20">
        <f t="shared" si="8"/>
        <v>0.14521383032879698</v>
      </c>
      <c r="F70" s="20">
        <f t="shared" si="9"/>
        <v>109.61608067484441</v>
      </c>
      <c r="G70" s="20">
        <f t="shared" si="10"/>
        <v>7.3839193251555884</v>
      </c>
      <c r="H70" s="20">
        <f t="shared" si="11"/>
        <v>7.3839193251555884</v>
      </c>
      <c r="I70" s="21">
        <f t="shared" si="12"/>
        <v>54.52226460040616</v>
      </c>
      <c r="J70" s="21">
        <f t="shared" si="13"/>
        <v>6.3110421582526399</v>
      </c>
    </row>
    <row r="71" spans="1:10" x14ac:dyDescent="0.35">
      <c r="A71" s="6">
        <v>63</v>
      </c>
      <c r="B71" s="19" t="str">
        <f>'Data Mentah'!B68</f>
        <v>11/03/2024</v>
      </c>
      <c r="C71" s="19">
        <f>'Data Mentah'!F68</f>
        <v>114</v>
      </c>
      <c r="D71" s="20">
        <f t="shared" si="7"/>
        <v>114.24068218978132</v>
      </c>
      <c r="E71" s="20">
        <f t="shared" si="8"/>
        <v>-7.1400140474393414E-2</v>
      </c>
      <c r="F71" s="20">
        <f t="shared" si="9"/>
        <v>116.40682189781323</v>
      </c>
      <c r="G71" s="20">
        <f t="shared" si="10"/>
        <v>-2.4068218978132307</v>
      </c>
      <c r="H71" s="20">
        <f t="shared" si="11"/>
        <v>2.4068218978132307</v>
      </c>
      <c r="I71" s="21">
        <f t="shared" si="12"/>
        <v>5.7927916477932815</v>
      </c>
      <c r="J71" s="21">
        <f t="shared" si="13"/>
        <v>2.1112472787835355</v>
      </c>
    </row>
    <row r="72" spans="1:10" x14ac:dyDescent="0.35">
      <c r="A72" s="6">
        <v>64</v>
      </c>
      <c r="B72" s="19" t="str">
        <f>'Data Mentah'!B69</f>
        <v>18/03/2024</v>
      </c>
      <c r="C72" s="19">
        <f>'Data Mentah'!F69</f>
        <v>114</v>
      </c>
      <c r="D72" s="20">
        <f t="shared" si="7"/>
        <v>114.01692820493069</v>
      </c>
      <c r="E72" s="20">
        <f t="shared" si="8"/>
        <v>-8.6635524912017231E-2</v>
      </c>
      <c r="F72" s="20">
        <f t="shared" si="9"/>
        <v>114.16928204930693</v>
      </c>
      <c r="G72" s="20">
        <f t="shared" si="10"/>
        <v>-0.16928204930692914</v>
      </c>
      <c r="H72" s="20">
        <f t="shared" si="11"/>
        <v>0.16928204930692914</v>
      </c>
      <c r="I72" s="21">
        <f t="shared" si="12"/>
        <v>2.8656412217553589E-2</v>
      </c>
      <c r="J72" s="21">
        <f t="shared" si="13"/>
        <v>0.14849302570783257</v>
      </c>
    </row>
    <row r="73" spans="1:10" x14ac:dyDescent="0.35">
      <c r="A73" s="6">
        <v>65</v>
      </c>
      <c r="B73" s="19" t="str">
        <f>'Data Mentah'!B70</f>
        <v>25/03/2024</v>
      </c>
      <c r="C73" s="19">
        <f>'Data Mentah'!F70</f>
        <v>116</v>
      </c>
      <c r="D73" s="20">
        <f t="shared" ref="D73:D104" si="14">$E$4*C73+(1-$E$4)*(D72+E72)</f>
        <v>115.79302926800187</v>
      </c>
      <c r="E73" s="20">
        <f t="shared" ref="E73:E104" si="15">$H$4*(D73-D72)+(1-$H$4)*E72</f>
        <v>9.9638133886302591E-2</v>
      </c>
      <c r="F73" s="20">
        <f t="shared" ref="F73:F104" si="16">D72+E72</f>
        <v>113.93029268001868</v>
      </c>
      <c r="G73" s="20">
        <f t="shared" ref="G73:G104" si="17">C73-F73</f>
        <v>2.069707319981319</v>
      </c>
      <c r="H73" s="20">
        <f t="shared" ref="H73:H104" si="18">ABS(G73)</f>
        <v>2.069707319981319</v>
      </c>
      <c r="I73" s="21">
        <f t="shared" ref="I73:I104" si="19">G73^2</f>
        <v>4.2836883903842535</v>
      </c>
      <c r="J73" s="21">
        <f t="shared" ref="J73:J104" si="20">ABS(G73/C73)*100</f>
        <v>1.7842304482597577</v>
      </c>
    </row>
    <row r="74" spans="1:10" x14ac:dyDescent="0.35">
      <c r="A74" s="6">
        <v>66</v>
      </c>
      <c r="B74" s="19" t="str">
        <f>'Data Mentah'!B71</f>
        <v>01/04/2024</v>
      </c>
      <c r="C74" s="19">
        <f>'Data Mentah'!F71</f>
        <v>112</v>
      </c>
      <c r="D74" s="20">
        <f t="shared" si="14"/>
        <v>112.38926674018882</v>
      </c>
      <c r="E74" s="20">
        <f t="shared" si="15"/>
        <v>-0.25070193228363347</v>
      </c>
      <c r="F74" s="20">
        <f t="shared" si="16"/>
        <v>115.89266740188818</v>
      </c>
      <c r="G74" s="20">
        <f t="shared" si="17"/>
        <v>-3.8926674018881755</v>
      </c>
      <c r="H74" s="20">
        <f t="shared" si="18"/>
        <v>3.8926674018881755</v>
      </c>
      <c r="I74" s="21">
        <f t="shared" si="19"/>
        <v>15.152859501722839</v>
      </c>
      <c r="J74" s="21">
        <f t="shared" si="20"/>
        <v>3.4755958945430141</v>
      </c>
    </row>
    <row r="75" spans="1:10" x14ac:dyDescent="0.35">
      <c r="A75" s="6">
        <v>67</v>
      </c>
      <c r="B75" s="19" t="str">
        <f>'Data Mentah'!B72</f>
        <v>08/04/2024</v>
      </c>
      <c r="C75" s="19">
        <f>'Data Mentah'!F72</f>
        <v>113</v>
      </c>
      <c r="D75" s="20">
        <f t="shared" si="14"/>
        <v>112.91385648079051</v>
      </c>
      <c r="E75" s="20">
        <f t="shared" si="15"/>
        <v>-0.17317276499510031</v>
      </c>
      <c r="F75" s="20">
        <f t="shared" si="16"/>
        <v>112.13856480790518</v>
      </c>
      <c r="G75" s="20">
        <f t="shared" si="17"/>
        <v>0.86143519209481667</v>
      </c>
      <c r="H75" s="20">
        <f t="shared" si="18"/>
        <v>0.86143519209481667</v>
      </c>
      <c r="I75" s="21">
        <f t="shared" si="19"/>
        <v>0.74207059017943366</v>
      </c>
      <c r="J75" s="21">
        <f t="shared" si="20"/>
        <v>0.76233202840249259</v>
      </c>
    </row>
    <row r="76" spans="1:10" x14ac:dyDescent="0.35">
      <c r="A76" s="6">
        <v>68</v>
      </c>
      <c r="B76" s="19" t="str">
        <f>'Data Mentah'!B73</f>
        <v>15/04/2024</v>
      </c>
      <c r="C76" s="19">
        <f>'Data Mentah'!F73</f>
        <v>120</v>
      </c>
      <c r="D76" s="20">
        <f t="shared" si="14"/>
        <v>119.27406837157955</v>
      </c>
      <c r="E76" s="20">
        <f t="shared" si="15"/>
        <v>0.48016570058331287</v>
      </c>
      <c r="F76" s="20">
        <f t="shared" si="16"/>
        <v>112.74068371579541</v>
      </c>
      <c r="G76" s="20">
        <f t="shared" si="17"/>
        <v>7.2593162842045871</v>
      </c>
      <c r="H76" s="20">
        <f t="shared" si="18"/>
        <v>7.2593162842045871</v>
      </c>
      <c r="I76" s="21">
        <f t="shared" si="19"/>
        <v>52.697672914117895</v>
      </c>
      <c r="J76" s="21">
        <f t="shared" si="20"/>
        <v>6.0494302368371562</v>
      </c>
    </row>
    <row r="77" spans="1:10" x14ac:dyDescent="0.35">
      <c r="A77" s="6">
        <v>69</v>
      </c>
      <c r="B77" s="19" t="str">
        <f>'Data Mentah'!B74</f>
        <v>22/04/2024</v>
      </c>
      <c r="C77" s="19">
        <f>'Data Mentah'!F74</f>
        <v>122</v>
      </c>
      <c r="D77" s="20">
        <f t="shared" si="14"/>
        <v>121.77542340721628</v>
      </c>
      <c r="E77" s="20">
        <f t="shared" si="15"/>
        <v>0.68228463408865503</v>
      </c>
      <c r="F77" s="20">
        <f t="shared" si="16"/>
        <v>119.75423407216286</v>
      </c>
      <c r="G77" s="20">
        <f t="shared" si="17"/>
        <v>2.2457659278371409</v>
      </c>
      <c r="H77" s="20">
        <f t="shared" si="18"/>
        <v>2.2457659278371409</v>
      </c>
      <c r="I77" s="21">
        <f t="shared" si="19"/>
        <v>5.0434646026342147</v>
      </c>
      <c r="J77" s="21">
        <f t="shared" si="20"/>
        <v>1.840791744128804</v>
      </c>
    </row>
    <row r="78" spans="1:10" x14ac:dyDescent="0.35">
      <c r="A78" s="6">
        <v>70</v>
      </c>
      <c r="B78" s="19" t="str">
        <f>'Data Mentah'!B75</f>
        <v>29/04/2024</v>
      </c>
      <c r="C78" s="19">
        <f>'Data Mentah'!F75</f>
        <v>112</v>
      </c>
      <c r="D78" s="20">
        <f t="shared" si="14"/>
        <v>113.04577080413048</v>
      </c>
      <c r="E78" s="20">
        <f t="shared" si="15"/>
        <v>-0.25890908962879011</v>
      </c>
      <c r="F78" s="20">
        <f t="shared" si="16"/>
        <v>122.45770804130494</v>
      </c>
      <c r="G78" s="20">
        <f t="shared" si="17"/>
        <v>-10.45770804130494</v>
      </c>
      <c r="H78" s="20">
        <f t="shared" si="18"/>
        <v>10.45770804130494</v>
      </c>
      <c r="I78" s="21">
        <f t="shared" si="19"/>
        <v>109.363657477174</v>
      </c>
      <c r="J78" s="21">
        <f t="shared" si="20"/>
        <v>9.337239322593696</v>
      </c>
    </row>
    <row r="79" spans="1:10" x14ac:dyDescent="0.35">
      <c r="A79" s="6">
        <v>71</v>
      </c>
      <c r="B79" s="19" t="str">
        <f>'Data Mentah'!B76</f>
        <v>06/05/2024</v>
      </c>
      <c r="C79" s="19">
        <f>'Data Mentah'!F76</f>
        <v>111</v>
      </c>
      <c r="D79" s="20">
        <f t="shared" si="14"/>
        <v>111.17868617145017</v>
      </c>
      <c r="E79" s="20">
        <f t="shared" si="15"/>
        <v>-0.41972664393394282</v>
      </c>
      <c r="F79" s="20">
        <f t="shared" si="16"/>
        <v>112.7868617145017</v>
      </c>
      <c r="G79" s="20">
        <f t="shared" si="17"/>
        <v>-1.786861714501697</v>
      </c>
      <c r="H79" s="20">
        <f t="shared" si="18"/>
        <v>1.786861714501697</v>
      </c>
      <c r="I79" s="21">
        <f t="shared" si="19"/>
        <v>3.1928747867519438</v>
      </c>
      <c r="J79" s="21">
        <f t="shared" si="20"/>
        <v>1.6097853283799073</v>
      </c>
    </row>
    <row r="80" spans="1:10" x14ac:dyDescent="0.35">
      <c r="A80" s="6">
        <v>72</v>
      </c>
      <c r="B80" s="19" t="str">
        <f>'Data Mentah'!B77</f>
        <v>13/05/2024</v>
      </c>
      <c r="C80" s="19">
        <f>'Data Mentah'!F77</f>
        <v>105</v>
      </c>
      <c r="D80" s="20">
        <f t="shared" si="14"/>
        <v>105.57589595275162</v>
      </c>
      <c r="E80" s="20">
        <f t="shared" si="15"/>
        <v>-0.93803300141040302</v>
      </c>
      <c r="F80" s="20">
        <f t="shared" si="16"/>
        <v>110.75895952751623</v>
      </c>
      <c r="G80" s="20">
        <f t="shared" si="17"/>
        <v>-5.7589595275162253</v>
      </c>
      <c r="H80" s="20">
        <f t="shared" si="18"/>
        <v>5.7589595275162253</v>
      </c>
      <c r="I80" s="21">
        <f t="shared" si="19"/>
        <v>33.165614839569905</v>
      </c>
      <c r="J80" s="21">
        <f t="shared" si="20"/>
        <v>5.4847233595392622</v>
      </c>
    </row>
    <row r="81" spans="1:10" x14ac:dyDescent="0.35">
      <c r="A81" s="6">
        <v>73</v>
      </c>
      <c r="B81" s="19" t="str">
        <f>'Data Mentah'!B78</f>
        <v>20/05/2024</v>
      </c>
      <c r="C81" s="19">
        <f>'Data Mentah'!F78</f>
        <v>104</v>
      </c>
      <c r="D81" s="20">
        <f t="shared" si="14"/>
        <v>104.06378629513412</v>
      </c>
      <c r="E81" s="20">
        <f t="shared" si="15"/>
        <v>-0.99544066703111278</v>
      </c>
      <c r="F81" s="20">
        <f t="shared" si="16"/>
        <v>104.63786295134122</v>
      </c>
      <c r="G81" s="20">
        <f t="shared" si="17"/>
        <v>-0.63786295134121929</v>
      </c>
      <c r="H81" s="20">
        <f t="shared" si="18"/>
        <v>0.63786295134121929</v>
      </c>
      <c r="I81" s="21">
        <f t="shared" si="19"/>
        <v>0.4068691446937307</v>
      </c>
      <c r="J81" s="21">
        <f t="shared" si="20"/>
        <v>0.61332976090501856</v>
      </c>
    </row>
    <row r="82" spans="1:10" x14ac:dyDescent="0.35">
      <c r="A82" s="6">
        <v>74</v>
      </c>
      <c r="B82" s="19" t="str">
        <f>'Data Mentah'!B79</f>
        <v>27/05/2024</v>
      </c>
      <c r="C82" s="19">
        <f>'Data Mentah'!F79</f>
        <v>119</v>
      </c>
      <c r="D82" s="20">
        <f t="shared" si="14"/>
        <v>117.4068345628103</v>
      </c>
      <c r="E82" s="20">
        <f t="shared" si="15"/>
        <v>0.43840822643961674</v>
      </c>
      <c r="F82" s="20">
        <f t="shared" si="16"/>
        <v>103.068345628103</v>
      </c>
      <c r="G82" s="20">
        <f t="shared" si="17"/>
        <v>15.931654371896997</v>
      </c>
      <c r="H82" s="20">
        <f t="shared" si="18"/>
        <v>15.931654371896997</v>
      </c>
      <c r="I82" s="21">
        <f t="shared" si="19"/>
        <v>253.81761102558468</v>
      </c>
      <c r="J82" s="21">
        <f t="shared" si="20"/>
        <v>13.387944850333611</v>
      </c>
    </row>
    <row r="83" spans="1:10" x14ac:dyDescent="0.35">
      <c r="A83" s="6">
        <v>75</v>
      </c>
      <c r="B83" s="19" t="str">
        <f>'Data Mentah'!B80</f>
        <v>03/06/2024</v>
      </c>
      <c r="C83" s="19">
        <f>'Data Mentah'!F80</f>
        <v>122</v>
      </c>
      <c r="D83" s="20">
        <f t="shared" si="14"/>
        <v>121.58452427892499</v>
      </c>
      <c r="E83" s="20">
        <f t="shared" si="15"/>
        <v>0.81233637540712356</v>
      </c>
      <c r="F83" s="20">
        <f t="shared" si="16"/>
        <v>117.84524278924992</v>
      </c>
      <c r="G83" s="20">
        <f t="shared" si="17"/>
        <v>4.154757210750077</v>
      </c>
      <c r="H83" s="20">
        <f t="shared" si="18"/>
        <v>4.154757210750077</v>
      </c>
      <c r="I83" s="21">
        <f t="shared" si="19"/>
        <v>17.26200748027976</v>
      </c>
      <c r="J83" s="21">
        <f t="shared" si="20"/>
        <v>3.4055386973361288</v>
      </c>
    </row>
    <row r="84" spans="1:10" x14ac:dyDescent="0.35">
      <c r="A84" s="6">
        <v>76</v>
      </c>
      <c r="B84" s="19" t="str">
        <f>'Data Mentah'!B81</f>
        <v>10/06/2024</v>
      </c>
      <c r="C84" s="19">
        <f>'Data Mentah'!F81</f>
        <v>122</v>
      </c>
      <c r="D84" s="20">
        <f t="shared" si="14"/>
        <v>122.0396860654332</v>
      </c>
      <c r="E84" s="20">
        <f t="shared" si="15"/>
        <v>0.77661891651723258</v>
      </c>
      <c r="F84" s="20">
        <f t="shared" si="16"/>
        <v>122.39686065433212</v>
      </c>
      <c r="G84" s="20">
        <f t="shared" si="17"/>
        <v>-0.39686065433211581</v>
      </c>
      <c r="H84" s="20">
        <f t="shared" si="18"/>
        <v>0.39686065433211581</v>
      </c>
      <c r="I84" s="21">
        <f t="shared" si="19"/>
        <v>0.15749837895691512</v>
      </c>
      <c r="J84" s="21">
        <f t="shared" si="20"/>
        <v>0.32529561830501297</v>
      </c>
    </row>
    <row r="85" spans="1:10" x14ac:dyDescent="0.35">
      <c r="A85" s="6">
        <v>77</v>
      </c>
      <c r="B85" s="19" t="str">
        <f>'Data Mentah'!B82</f>
        <v>17/06/2024</v>
      </c>
      <c r="C85" s="19">
        <f>'Data Mentah'!F82</f>
        <v>127</v>
      </c>
      <c r="D85" s="20">
        <f t="shared" si="14"/>
        <v>126.58163049819504</v>
      </c>
      <c r="E85" s="20">
        <f t="shared" si="15"/>
        <v>1.1531514681416932</v>
      </c>
      <c r="F85" s="20">
        <f t="shared" si="16"/>
        <v>122.81630498195044</v>
      </c>
      <c r="G85" s="20">
        <f t="shared" si="17"/>
        <v>4.183695018049562</v>
      </c>
      <c r="H85" s="20">
        <f t="shared" si="18"/>
        <v>4.183695018049562</v>
      </c>
      <c r="I85" s="21">
        <f t="shared" si="19"/>
        <v>17.503304004052726</v>
      </c>
      <c r="J85" s="21">
        <f t="shared" si="20"/>
        <v>3.2942480457083168</v>
      </c>
    </row>
    <row r="86" spans="1:10" x14ac:dyDescent="0.35">
      <c r="A86" s="6">
        <v>78</v>
      </c>
      <c r="B86" s="19" t="str">
        <f>'Data Mentah'!B83</f>
        <v>24/06/2024</v>
      </c>
      <c r="C86" s="19">
        <f>'Data Mentah'!F83</f>
        <v>119</v>
      </c>
      <c r="D86" s="20">
        <f t="shared" si="14"/>
        <v>119.87347819663368</v>
      </c>
      <c r="E86" s="20">
        <f t="shared" si="15"/>
        <v>0.36702109117138826</v>
      </c>
      <c r="F86" s="20">
        <f t="shared" si="16"/>
        <v>127.73478196633673</v>
      </c>
      <c r="G86" s="20">
        <f t="shared" si="17"/>
        <v>-8.7347819663367261</v>
      </c>
      <c r="H86" s="20">
        <f t="shared" si="18"/>
        <v>8.7347819663367261</v>
      </c>
      <c r="I86" s="21">
        <f t="shared" si="19"/>
        <v>76.29641599944128</v>
      </c>
      <c r="J86" s="21">
        <f t="shared" si="20"/>
        <v>7.340152912888005</v>
      </c>
    </row>
    <row r="87" spans="1:10" x14ac:dyDescent="0.35">
      <c r="A87" s="6">
        <v>79</v>
      </c>
      <c r="B87" s="19" t="str">
        <f>'Data Mentah'!B84</f>
        <v>01/07/2024</v>
      </c>
      <c r="C87" s="19">
        <f>'Data Mentah'!F84</f>
        <v>120</v>
      </c>
      <c r="D87" s="20">
        <f t="shared" si="14"/>
        <v>120.0240499287805</v>
      </c>
      <c r="E87" s="20">
        <f t="shared" si="15"/>
        <v>0.34537615526893095</v>
      </c>
      <c r="F87" s="20">
        <f t="shared" si="16"/>
        <v>120.24049928780508</v>
      </c>
      <c r="G87" s="20">
        <f t="shared" si="17"/>
        <v>-0.24049928780507912</v>
      </c>
      <c r="H87" s="20">
        <f t="shared" si="18"/>
        <v>0.24049928780507912</v>
      </c>
      <c r="I87" s="21">
        <f t="shared" si="19"/>
        <v>5.783990743475028E-2</v>
      </c>
      <c r="J87" s="21">
        <f t="shared" si="20"/>
        <v>0.20041607317089924</v>
      </c>
    </row>
    <row r="88" spans="1:10" x14ac:dyDescent="0.35">
      <c r="A88" s="6">
        <v>80</v>
      </c>
      <c r="B88" s="19" t="str">
        <f>'Data Mentah'!B85</f>
        <v>08/07/2024</v>
      </c>
      <c r="C88" s="19">
        <f>'Data Mentah'!F85</f>
        <v>118</v>
      </c>
      <c r="D88" s="20">
        <f t="shared" si="14"/>
        <v>118.23694260840495</v>
      </c>
      <c r="E88" s="20">
        <f t="shared" si="15"/>
        <v>0.1321278077044824</v>
      </c>
      <c r="F88" s="20">
        <f t="shared" si="16"/>
        <v>120.36942608404944</v>
      </c>
      <c r="G88" s="20">
        <f t="shared" si="17"/>
        <v>-2.3694260840494366</v>
      </c>
      <c r="H88" s="20">
        <f t="shared" si="18"/>
        <v>2.3694260840494366</v>
      </c>
      <c r="I88" s="21">
        <f t="shared" si="19"/>
        <v>5.6141799677738478</v>
      </c>
      <c r="J88" s="21">
        <f t="shared" si="20"/>
        <v>2.0079882068215564</v>
      </c>
    </row>
    <row r="89" spans="1:10" x14ac:dyDescent="0.35">
      <c r="A89" s="6">
        <v>81</v>
      </c>
      <c r="B89" s="19" t="str">
        <f>'Data Mentah'!B86</f>
        <v>15/07/2024</v>
      </c>
      <c r="C89" s="19">
        <f>'Data Mentah'!F86</f>
        <v>110</v>
      </c>
      <c r="D89" s="20">
        <f t="shared" si="14"/>
        <v>110.83690704161094</v>
      </c>
      <c r="E89" s="20">
        <f t="shared" si="15"/>
        <v>-0.6210885297453661</v>
      </c>
      <c r="F89" s="20">
        <f t="shared" si="16"/>
        <v>118.36907041610942</v>
      </c>
      <c r="G89" s="20">
        <f t="shared" si="17"/>
        <v>-8.3690704161094231</v>
      </c>
      <c r="H89" s="20">
        <f t="shared" si="18"/>
        <v>8.3690704161094231</v>
      </c>
      <c r="I89" s="21">
        <f t="shared" si="19"/>
        <v>70.04133962979796</v>
      </c>
      <c r="J89" s="21">
        <f t="shared" si="20"/>
        <v>7.608245832826749</v>
      </c>
    </row>
    <row r="90" spans="1:10" x14ac:dyDescent="0.35">
      <c r="A90" s="6">
        <v>82</v>
      </c>
      <c r="B90" s="19" t="str">
        <f>'Data Mentah'!B87</f>
        <v>22/07/2024</v>
      </c>
      <c r="C90" s="19">
        <f>'Data Mentah'!F87</f>
        <v>115</v>
      </c>
      <c r="D90" s="20">
        <f t="shared" si="14"/>
        <v>114.52158185118655</v>
      </c>
      <c r="E90" s="20">
        <f t="shared" si="15"/>
        <v>-0.19051219581326834</v>
      </c>
      <c r="F90" s="20">
        <f t="shared" si="16"/>
        <v>110.21581851186558</v>
      </c>
      <c r="G90" s="20">
        <f t="shared" si="17"/>
        <v>4.784181488134422</v>
      </c>
      <c r="H90" s="20">
        <f t="shared" si="18"/>
        <v>4.784181488134422</v>
      </c>
      <c r="I90" s="21">
        <f t="shared" si="19"/>
        <v>22.888392511408092</v>
      </c>
      <c r="J90" s="21">
        <f t="shared" si="20"/>
        <v>4.1601578157690629</v>
      </c>
    </row>
    <row r="91" spans="1:10" x14ac:dyDescent="0.35">
      <c r="A91" s="6">
        <v>83</v>
      </c>
      <c r="B91" s="19" t="str">
        <f>'Data Mentah'!B88</f>
        <v>29/07/2024</v>
      </c>
      <c r="C91" s="19">
        <f>'Data Mentah'!F88</f>
        <v>119</v>
      </c>
      <c r="D91" s="20">
        <f t="shared" si="14"/>
        <v>118.53310696553733</v>
      </c>
      <c r="E91" s="20">
        <f t="shared" si="15"/>
        <v>0.22969153520313601</v>
      </c>
      <c r="F91" s="20">
        <f t="shared" si="16"/>
        <v>114.33106965537328</v>
      </c>
      <c r="G91" s="20">
        <f t="shared" si="17"/>
        <v>4.6689303446267161</v>
      </c>
      <c r="H91" s="20">
        <f t="shared" si="18"/>
        <v>4.6689303446267161</v>
      </c>
      <c r="I91" s="21">
        <f t="shared" si="19"/>
        <v>21.798910562976147</v>
      </c>
      <c r="J91" s="21">
        <f t="shared" si="20"/>
        <v>3.9234708778375769</v>
      </c>
    </row>
    <row r="92" spans="1:10" x14ac:dyDescent="0.35">
      <c r="A92" s="6">
        <v>84</v>
      </c>
      <c r="B92" s="19" t="str">
        <f>'Data Mentah'!B89</f>
        <v>05/08/2024</v>
      </c>
      <c r="C92" s="19">
        <f>'Data Mentah'!F89</f>
        <v>122</v>
      </c>
      <c r="D92" s="20">
        <f t="shared" si="14"/>
        <v>121.67627985007404</v>
      </c>
      <c r="E92" s="20">
        <f t="shared" si="15"/>
        <v>0.52103967013649344</v>
      </c>
      <c r="F92" s="20">
        <f t="shared" si="16"/>
        <v>118.76279850074046</v>
      </c>
      <c r="G92" s="20">
        <f t="shared" si="17"/>
        <v>3.237201499259541</v>
      </c>
      <c r="H92" s="20">
        <f t="shared" si="18"/>
        <v>3.237201499259541</v>
      </c>
      <c r="I92" s="21">
        <f t="shared" si="19"/>
        <v>10.479473546808221</v>
      </c>
      <c r="J92" s="21">
        <f t="shared" si="20"/>
        <v>2.6534438518520829</v>
      </c>
    </row>
    <row r="93" spans="1:10" x14ac:dyDescent="0.35">
      <c r="A93" s="6">
        <v>85</v>
      </c>
      <c r="B93" s="19" t="str">
        <f>'Data Mentah'!B90</f>
        <v>12/08/2024</v>
      </c>
      <c r="C93" s="19">
        <f>'Data Mentah'!F90</f>
        <v>124</v>
      </c>
      <c r="D93" s="20">
        <f t="shared" si="14"/>
        <v>123.81973195202106</v>
      </c>
      <c r="E93" s="20">
        <f t="shared" si="15"/>
        <v>0.68328091331754615</v>
      </c>
      <c r="F93" s="20">
        <f t="shared" si="16"/>
        <v>122.19731952021053</v>
      </c>
      <c r="G93" s="20">
        <f t="shared" si="17"/>
        <v>1.8026804797894727</v>
      </c>
      <c r="H93" s="20">
        <f t="shared" si="18"/>
        <v>1.8026804797894727</v>
      </c>
      <c r="I93" s="21">
        <f t="shared" si="19"/>
        <v>3.2496569122140033</v>
      </c>
      <c r="J93" s="21">
        <f t="shared" si="20"/>
        <v>1.4537745804753812</v>
      </c>
    </row>
    <row r="94" spans="1:10" x14ac:dyDescent="0.35">
      <c r="A94" s="6">
        <v>86</v>
      </c>
      <c r="B94" s="19" t="str">
        <f>'Data Mentah'!B91</f>
        <v>19/08/2024</v>
      </c>
      <c r="C94" s="19">
        <f>'Data Mentah'!F91</f>
        <v>127</v>
      </c>
      <c r="D94" s="20">
        <f t="shared" si="14"/>
        <v>126.75030128653385</v>
      </c>
      <c r="E94" s="20">
        <f t="shared" si="15"/>
        <v>0.90800975543707119</v>
      </c>
      <c r="F94" s="20">
        <f t="shared" si="16"/>
        <v>124.5030128653386</v>
      </c>
      <c r="G94" s="20">
        <f t="shared" si="17"/>
        <v>2.4969871346613957</v>
      </c>
      <c r="H94" s="20">
        <f t="shared" si="18"/>
        <v>2.4969871346613957</v>
      </c>
      <c r="I94" s="21">
        <f t="shared" si="19"/>
        <v>6.2349447506645266</v>
      </c>
      <c r="J94" s="21">
        <f t="shared" si="20"/>
        <v>1.966131602095587</v>
      </c>
    </row>
    <row r="95" spans="1:10" x14ac:dyDescent="0.35">
      <c r="A95" s="6">
        <v>87</v>
      </c>
      <c r="B95" s="19" t="str">
        <f>'Data Mentah'!B92</f>
        <v>26/08/2024</v>
      </c>
      <c r="C95" s="19">
        <f>'Data Mentah'!F92</f>
        <v>123</v>
      </c>
      <c r="D95" s="20">
        <f t="shared" si="14"/>
        <v>123.46583110419709</v>
      </c>
      <c r="E95" s="20">
        <f t="shared" si="15"/>
        <v>0.48876176165968788</v>
      </c>
      <c r="F95" s="20">
        <f t="shared" si="16"/>
        <v>127.65831104197093</v>
      </c>
      <c r="G95" s="20">
        <f t="shared" si="17"/>
        <v>-4.6583110419709328</v>
      </c>
      <c r="H95" s="20">
        <f t="shared" si="18"/>
        <v>4.6583110419709328</v>
      </c>
      <c r="I95" s="21">
        <f t="shared" si="19"/>
        <v>21.699861763748316</v>
      </c>
      <c r="J95" s="21">
        <f t="shared" si="20"/>
        <v>3.7872447495698638</v>
      </c>
    </row>
    <row r="96" spans="1:10" x14ac:dyDescent="0.35">
      <c r="A96" s="6">
        <v>88</v>
      </c>
      <c r="B96" s="19" t="str">
        <f>'Data Mentah'!B93</f>
        <v>02/09/2024</v>
      </c>
      <c r="C96" s="19">
        <f>'Data Mentah'!F93</f>
        <v>122</v>
      </c>
      <c r="D96" s="20">
        <f t="shared" si="14"/>
        <v>122.19545928658567</v>
      </c>
      <c r="E96" s="20">
        <f t="shared" si="15"/>
        <v>0.31284840373257716</v>
      </c>
      <c r="F96" s="20">
        <f t="shared" si="16"/>
        <v>123.95459286585678</v>
      </c>
      <c r="G96" s="20">
        <f t="shared" si="17"/>
        <v>-1.9545928658567817</v>
      </c>
      <c r="H96" s="20">
        <f t="shared" si="18"/>
        <v>1.9545928658567817</v>
      </c>
      <c r="I96" s="21">
        <f t="shared" si="19"/>
        <v>3.820433271258227</v>
      </c>
      <c r="J96" s="21">
        <f t="shared" si="20"/>
        <v>1.6021252998826081</v>
      </c>
    </row>
    <row r="97" spans="1:10" x14ac:dyDescent="0.35">
      <c r="A97" s="6">
        <v>89</v>
      </c>
      <c r="B97" s="19" t="str">
        <f>'Data Mentah'!B94</f>
        <v>09/09/2024</v>
      </c>
      <c r="C97" s="19">
        <f>'Data Mentah'!F94</f>
        <v>122</v>
      </c>
      <c r="D97" s="20">
        <f t="shared" si="14"/>
        <v>122.05083076903182</v>
      </c>
      <c r="E97" s="20">
        <f t="shared" si="15"/>
        <v>0.267100711603934</v>
      </c>
      <c r="F97" s="20">
        <f t="shared" si="16"/>
        <v>122.50830769031825</v>
      </c>
      <c r="G97" s="20">
        <f t="shared" si="17"/>
        <v>-0.5083076903182473</v>
      </c>
      <c r="H97" s="20">
        <f t="shared" si="18"/>
        <v>0.5083076903182473</v>
      </c>
      <c r="I97" s="21">
        <f t="shared" si="19"/>
        <v>0.25837670803667118</v>
      </c>
      <c r="J97" s="21">
        <f t="shared" si="20"/>
        <v>0.41664564780184205</v>
      </c>
    </row>
    <row r="98" spans="1:10" x14ac:dyDescent="0.35">
      <c r="A98" s="6">
        <v>90</v>
      </c>
      <c r="B98" s="19" t="str">
        <f>'Data Mentah'!B95</f>
        <v>16/09/2024</v>
      </c>
      <c r="C98" s="19">
        <f>'Data Mentah'!F95</f>
        <v>112</v>
      </c>
      <c r="D98" s="20">
        <f t="shared" si="14"/>
        <v>113.03179314806357</v>
      </c>
      <c r="E98" s="20">
        <f t="shared" si="15"/>
        <v>-0.66151312165328424</v>
      </c>
      <c r="F98" s="20">
        <f t="shared" si="16"/>
        <v>122.31793148063575</v>
      </c>
      <c r="G98" s="20">
        <f t="shared" si="17"/>
        <v>-10.31793148063575</v>
      </c>
      <c r="H98" s="20">
        <f t="shared" si="18"/>
        <v>10.31793148063575</v>
      </c>
      <c r="I98" s="21">
        <f t="shared" si="19"/>
        <v>106.45971003909423</v>
      </c>
      <c r="J98" s="21">
        <f t="shared" si="20"/>
        <v>9.212438821996205</v>
      </c>
    </row>
    <row r="99" spans="1:10" x14ac:dyDescent="0.35">
      <c r="A99" s="6">
        <v>91</v>
      </c>
      <c r="B99" s="19" t="str">
        <f>'Data Mentah'!B96</f>
        <v>23/09/2024</v>
      </c>
      <c r="C99" s="19">
        <f>'Data Mentah'!F96</f>
        <v>114</v>
      </c>
      <c r="D99" s="20">
        <f t="shared" si="14"/>
        <v>113.83702800264103</v>
      </c>
      <c r="E99" s="20">
        <f t="shared" si="15"/>
        <v>-0.51483832403020946</v>
      </c>
      <c r="F99" s="20">
        <f t="shared" si="16"/>
        <v>112.37028002641028</v>
      </c>
      <c r="G99" s="20">
        <f t="shared" si="17"/>
        <v>1.6297199735897152</v>
      </c>
      <c r="H99" s="20">
        <f t="shared" si="18"/>
        <v>1.6297199735897152</v>
      </c>
      <c r="I99" s="21">
        <f t="shared" si="19"/>
        <v>2.6559871923172622</v>
      </c>
      <c r="J99" s="21">
        <f t="shared" si="20"/>
        <v>1.4295789242015045</v>
      </c>
    </row>
    <row r="100" spans="1:10" x14ac:dyDescent="0.35">
      <c r="A100" s="6">
        <v>92</v>
      </c>
      <c r="B100" s="19" t="str">
        <f>'Data Mentah'!B97</f>
        <v>30/09/2024</v>
      </c>
      <c r="C100" s="19">
        <f>'Data Mentah'!F97</f>
        <v>114</v>
      </c>
      <c r="D100" s="20">
        <f t="shared" si="14"/>
        <v>113.93221896786109</v>
      </c>
      <c r="E100" s="20">
        <f t="shared" si="15"/>
        <v>-0.45383539510518295</v>
      </c>
      <c r="F100" s="20">
        <f t="shared" si="16"/>
        <v>113.32218967861083</v>
      </c>
      <c r="G100" s="20">
        <f t="shared" si="17"/>
        <v>0.67781032138917396</v>
      </c>
      <c r="H100" s="20">
        <f t="shared" si="18"/>
        <v>0.67781032138917396</v>
      </c>
      <c r="I100" s="21">
        <f t="shared" si="19"/>
        <v>0.4594268317816953</v>
      </c>
      <c r="J100" s="21">
        <f t="shared" si="20"/>
        <v>0.59457045735892455</v>
      </c>
    </row>
    <row r="101" spans="1:10" x14ac:dyDescent="0.35">
      <c r="A101" s="6">
        <v>93</v>
      </c>
      <c r="B101" s="19" t="str">
        <f>'Data Mentah'!B98</f>
        <v>07/10/2024</v>
      </c>
      <c r="C101" s="19">
        <f>'Data Mentah'!F98</f>
        <v>112</v>
      </c>
      <c r="D101" s="20">
        <f t="shared" si="14"/>
        <v>112.14783835727559</v>
      </c>
      <c r="E101" s="20">
        <f t="shared" si="15"/>
        <v>-0.58688991665321477</v>
      </c>
      <c r="F101" s="20">
        <f t="shared" si="16"/>
        <v>113.4783835727559</v>
      </c>
      <c r="G101" s="20">
        <f t="shared" si="17"/>
        <v>-1.4783835727559023</v>
      </c>
      <c r="H101" s="20">
        <f t="shared" si="18"/>
        <v>1.4783835727559023</v>
      </c>
      <c r="I101" s="21">
        <f t="shared" si="19"/>
        <v>2.1856179881945064</v>
      </c>
      <c r="J101" s="21">
        <f t="shared" si="20"/>
        <v>1.31998533281777</v>
      </c>
    </row>
    <row r="102" spans="1:10" x14ac:dyDescent="0.35">
      <c r="A102" s="6">
        <v>94</v>
      </c>
      <c r="B102" s="19" t="str">
        <f>'Data Mentah'!B99</f>
        <v>14/10/2024</v>
      </c>
      <c r="C102" s="19">
        <f>'Data Mentah'!F99</f>
        <v>122</v>
      </c>
      <c r="D102" s="20">
        <f t="shared" si="14"/>
        <v>120.95609484406224</v>
      </c>
      <c r="E102" s="20">
        <f t="shared" si="15"/>
        <v>0.35262472369077147</v>
      </c>
      <c r="F102" s="20">
        <f t="shared" si="16"/>
        <v>111.56094844062237</v>
      </c>
      <c r="G102" s="20">
        <f t="shared" si="17"/>
        <v>10.439051559377631</v>
      </c>
      <c r="H102" s="20">
        <f t="shared" si="18"/>
        <v>10.439051559377631</v>
      </c>
      <c r="I102" s="21">
        <f t="shared" si="19"/>
        <v>108.97379745934455</v>
      </c>
      <c r="J102" s="21">
        <f t="shared" si="20"/>
        <v>8.5565996388341237</v>
      </c>
    </row>
    <row r="103" spans="1:10" x14ac:dyDescent="0.35">
      <c r="A103" s="6">
        <v>95</v>
      </c>
      <c r="B103" s="19" t="str">
        <f>'Data Mentah'!B100</f>
        <v>21/10/2024</v>
      </c>
      <c r="C103" s="19">
        <f>'Data Mentah'!F100</f>
        <v>131</v>
      </c>
      <c r="D103" s="20">
        <f t="shared" si="14"/>
        <v>130.03087195677531</v>
      </c>
      <c r="E103" s="20">
        <f t="shared" si="15"/>
        <v>1.2248399625930022</v>
      </c>
      <c r="F103" s="20">
        <f t="shared" si="16"/>
        <v>121.308719567753</v>
      </c>
      <c r="G103" s="20">
        <f t="shared" si="17"/>
        <v>9.6912804322469981</v>
      </c>
      <c r="H103" s="20">
        <f t="shared" si="18"/>
        <v>9.6912804322469981</v>
      </c>
      <c r="I103" s="21">
        <f t="shared" si="19"/>
        <v>93.920916416453565</v>
      </c>
      <c r="J103" s="21">
        <f t="shared" si="20"/>
        <v>7.397923994081677</v>
      </c>
    </row>
    <row r="104" spans="1:10" x14ac:dyDescent="0.35">
      <c r="A104" s="6">
        <v>96</v>
      </c>
      <c r="B104" s="19" t="str">
        <f>'Data Mentah'!B101</f>
        <v>28/10/2024</v>
      </c>
      <c r="C104" s="19">
        <f>'Data Mentah'!F101</f>
        <v>139</v>
      </c>
      <c r="D104" s="20">
        <f t="shared" si="14"/>
        <v>138.22557119193684</v>
      </c>
      <c r="E104" s="20">
        <f t="shared" si="15"/>
        <v>1.9218258898498541</v>
      </c>
      <c r="F104" s="20">
        <f t="shared" si="16"/>
        <v>131.25571191936831</v>
      </c>
      <c r="G104" s="20">
        <f t="shared" si="17"/>
        <v>7.7442880806316907</v>
      </c>
      <c r="H104" s="20">
        <f t="shared" si="18"/>
        <v>7.7442880806316907</v>
      </c>
      <c r="I104" s="21">
        <f t="shared" si="19"/>
        <v>59.973997875814078</v>
      </c>
      <c r="J104" s="21">
        <f t="shared" si="20"/>
        <v>5.5714302738357491</v>
      </c>
    </row>
    <row r="105" spans="1:10" x14ac:dyDescent="0.35">
      <c r="A105" s="6">
        <v>97</v>
      </c>
      <c r="B105" s="19" t="str">
        <f>'Data Mentah'!B102</f>
        <v>04/11/2024</v>
      </c>
      <c r="C105" s="19">
        <f>'Data Mentah'!F102</f>
        <v>142</v>
      </c>
      <c r="D105" s="20">
        <f t="shared" ref="D105:D136" si="21">$E$4*C105+(1-$E$4)*(D104+E104)</f>
        <v>141.81473970817865</v>
      </c>
      <c r="E105" s="20">
        <f t="shared" ref="E105:E136" si="22">$H$4*(D105-D104)+(1-$H$4)*E104</f>
        <v>2.08856015248905</v>
      </c>
      <c r="F105" s="20">
        <f t="shared" ref="F105:F113" si="23">D104+E104</f>
        <v>140.14739708178669</v>
      </c>
      <c r="G105" s="20">
        <f t="shared" ref="G105:G136" si="24">C105-F105</f>
        <v>1.8526029182133072</v>
      </c>
      <c r="H105" s="20">
        <f t="shared" ref="H105:H136" si="25">ABS(G105)</f>
        <v>1.8526029182133072</v>
      </c>
      <c r="I105" s="21">
        <f t="shared" ref="I105:I113" si="26">G105^2</f>
        <v>3.4321375725724619</v>
      </c>
      <c r="J105" s="21">
        <f t="shared" ref="J105:J113" si="27">ABS(G105/C105)*100</f>
        <v>1.3046499424037374</v>
      </c>
    </row>
    <row r="106" spans="1:10" x14ac:dyDescent="0.35">
      <c r="A106" s="6">
        <v>98</v>
      </c>
      <c r="B106" s="19" t="str">
        <f>'Data Mentah'!B103</f>
        <v>11/11/2024</v>
      </c>
      <c r="C106" s="19">
        <f>'Data Mentah'!F103</f>
        <v>140</v>
      </c>
      <c r="D106" s="20">
        <f t="shared" si="21"/>
        <v>140.39032998606677</v>
      </c>
      <c r="E106" s="20">
        <f t="shared" si="22"/>
        <v>1.7372631650289576</v>
      </c>
      <c r="F106" s="20">
        <f t="shared" si="23"/>
        <v>143.90329986066769</v>
      </c>
      <c r="G106" s="20">
        <f t="shared" si="24"/>
        <v>-3.903299860667687</v>
      </c>
      <c r="H106" s="20">
        <f t="shared" si="25"/>
        <v>3.903299860667687</v>
      </c>
      <c r="I106" s="21">
        <f t="shared" si="26"/>
        <v>15.235749802288385</v>
      </c>
      <c r="J106" s="21">
        <f t="shared" si="27"/>
        <v>2.7880713290483481</v>
      </c>
    </row>
    <row r="107" spans="1:10" x14ac:dyDescent="0.35">
      <c r="A107" s="6">
        <v>99</v>
      </c>
      <c r="B107" s="19" t="str">
        <f>'Data Mentah'!B104</f>
        <v>18/11/2024</v>
      </c>
      <c r="C107" s="19">
        <f>'Data Mentah'!F104</f>
        <v>132</v>
      </c>
      <c r="D107" s="20">
        <f t="shared" si="21"/>
        <v>133.01275931510958</v>
      </c>
      <c r="E107" s="20">
        <f t="shared" si="22"/>
        <v>0.82577978143034203</v>
      </c>
      <c r="F107" s="20">
        <f t="shared" si="23"/>
        <v>142.12759315109574</v>
      </c>
      <c r="G107" s="20">
        <f t="shared" si="24"/>
        <v>-10.127593151095738</v>
      </c>
      <c r="H107" s="20">
        <f t="shared" si="25"/>
        <v>10.127593151095738</v>
      </c>
      <c r="I107" s="21">
        <f t="shared" si="26"/>
        <v>102.56814303412129</v>
      </c>
      <c r="J107" s="21">
        <f t="shared" si="27"/>
        <v>7.6724190538604073</v>
      </c>
    </row>
    <row r="108" spans="1:10" x14ac:dyDescent="0.35">
      <c r="A108" s="6">
        <v>100</v>
      </c>
      <c r="B108" s="19" t="str">
        <f>'Data Mentah'!B105</f>
        <v>25/11/2024</v>
      </c>
      <c r="C108" s="19">
        <f>'Data Mentah'!F105</f>
        <v>134</v>
      </c>
      <c r="D108" s="20">
        <f t="shared" si="21"/>
        <v>133.98385390965399</v>
      </c>
      <c r="E108" s="20">
        <f t="shared" si="22"/>
        <v>0.84031126274174905</v>
      </c>
      <c r="F108" s="20">
        <f t="shared" si="23"/>
        <v>133.83853909653993</v>
      </c>
      <c r="G108" s="20">
        <f t="shared" si="24"/>
        <v>0.16146090346006758</v>
      </c>
      <c r="H108" s="20">
        <f t="shared" si="25"/>
        <v>0.16146090346006758</v>
      </c>
      <c r="I108" s="21">
        <f t="shared" si="26"/>
        <v>2.6069623346141265E-2</v>
      </c>
      <c r="J108" s="21">
        <f t="shared" si="27"/>
        <v>0.12049321153736388</v>
      </c>
    </row>
    <row r="109" spans="1:10" x14ac:dyDescent="0.35">
      <c r="A109" s="6">
        <v>101</v>
      </c>
      <c r="B109" s="19" t="str">
        <f>'Data Mentah'!B106</f>
        <v>02/12/2024</v>
      </c>
      <c r="C109" s="19">
        <f>'Data Mentah'!F106</f>
        <v>141</v>
      </c>
      <c r="D109" s="20">
        <f t="shared" si="21"/>
        <v>140.38241651723956</v>
      </c>
      <c r="E109" s="20">
        <f t="shared" si="22"/>
        <v>1.3961363972261318</v>
      </c>
      <c r="F109" s="20">
        <f t="shared" si="23"/>
        <v>134.82416517239574</v>
      </c>
      <c r="G109" s="20">
        <f t="shared" si="24"/>
        <v>6.1758348276042625</v>
      </c>
      <c r="H109" s="20">
        <f t="shared" si="25"/>
        <v>6.1758348276042625</v>
      </c>
      <c r="I109" s="21">
        <f t="shared" si="26"/>
        <v>38.140935817849773</v>
      </c>
      <c r="J109" s="21">
        <f t="shared" si="27"/>
        <v>4.3800247004285549</v>
      </c>
    </row>
    <row r="110" spans="1:10" x14ac:dyDescent="0.35">
      <c r="A110" s="6">
        <v>102</v>
      </c>
      <c r="B110" s="19" t="str">
        <f>'Data Mentah'!B107</f>
        <v>09/12/2024</v>
      </c>
      <c r="C110" s="19">
        <f>'Data Mentah'!F107</f>
        <v>136</v>
      </c>
      <c r="D110" s="20">
        <f t="shared" si="21"/>
        <v>136.57785529144658</v>
      </c>
      <c r="E110" s="20">
        <f t="shared" si="22"/>
        <v>0.87606663492422066</v>
      </c>
      <c r="F110" s="20">
        <f t="shared" si="23"/>
        <v>141.77855291446571</v>
      </c>
      <c r="G110" s="20">
        <f t="shared" si="24"/>
        <v>-5.7785529144657062</v>
      </c>
      <c r="H110" s="20">
        <f t="shared" si="25"/>
        <v>5.7785529144657062</v>
      </c>
      <c r="I110" s="21">
        <f t="shared" si="26"/>
        <v>33.391673785280105</v>
      </c>
      <c r="J110" s="21">
        <f t="shared" si="27"/>
        <v>4.2489359665189017</v>
      </c>
    </row>
    <row r="111" spans="1:10" x14ac:dyDescent="0.35">
      <c r="A111" s="6">
        <v>103</v>
      </c>
      <c r="B111" s="19" t="str">
        <f>'Data Mentah'!B108</f>
        <v>16/12/2024</v>
      </c>
      <c r="C111" s="19">
        <f>'Data Mentah'!F108</f>
        <v>140</v>
      </c>
      <c r="D111" s="20">
        <f t="shared" si="21"/>
        <v>139.74539219263707</v>
      </c>
      <c r="E111" s="20">
        <f t="shared" si="22"/>
        <v>1.1052136615508474</v>
      </c>
      <c r="F111" s="20">
        <f t="shared" si="23"/>
        <v>137.45392192637081</v>
      </c>
      <c r="G111" s="20">
        <f t="shared" si="24"/>
        <v>2.5460780736291895</v>
      </c>
      <c r="H111" s="20">
        <f t="shared" si="25"/>
        <v>2.5460780736291895</v>
      </c>
      <c r="I111" s="21">
        <f t="shared" si="26"/>
        <v>6.4825135570153245</v>
      </c>
      <c r="J111" s="21">
        <f t="shared" si="27"/>
        <v>1.8186271954494209</v>
      </c>
    </row>
    <row r="112" spans="1:10" x14ac:dyDescent="0.35">
      <c r="A112" s="6">
        <v>104</v>
      </c>
      <c r="B112" s="19" t="str">
        <f>'Data Mentah'!B109</f>
        <v>23/12/2024</v>
      </c>
      <c r="C112" s="19">
        <f>'Data Mentah'!F109</f>
        <v>127</v>
      </c>
      <c r="D112" s="20">
        <f t="shared" si="21"/>
        <v>128.38506058541878</v>
      </c>
      <c r="E112" s="20">
        <f t="shared" si="22"/>
        <v>-0.14134086532606582</v>
      </c>
      <c r="F112" s="20">
        <f t="shared" si="23"/>
        <v>140.8506058541879</v>
      </c>
      <c r="G112" s="20">
        <f t="shared" si="24"/>
        <v>-13.850605854187904</v>
      </c>
      <c r="H112" s="20">
        <f t="shared" si="25"/>
        <v>13.850605854187904</v>
      </c>
      <c r="I112" s="21">
        <f t="shared" si="26"/>
        <v>191.83928252806425</v>
      </c>
      <c r="J112" s="21">
        <f t="shared" si="27"/>
        <v>10.905988861565278</v>
      </c>
    </row>
    <row r="113" spans="1:10" x14ac:dyDescent="0.35">
      <c r="A113" s="6">
        <v>105</v>
      </c>
      <c r="B113" s="19" t="str">
        <f>'Data Mentah'!B110</f>
        <v>30/12/2024</v>
      </c>
      <c r="C113" s="19">
        <f>'Data Mentah'!F110</f>
        <v>93</v>
      </c>
      <c r="D113" s="20">
        <f t="shared" si="21"/>
        <v>96.524371972009277</v>
      </c>
      <c r="E113" s="20">
        <f t="shared" si="22"/>
        <v>-3.3132756401344103</v>
      </c>
      <c r="F113" s="20">
        <f t="shared" si="23"/>
        <v>128.24371972009271</v>
      </c>
      <c r="G113" s="20">
        <f t="shared" si="24"/>
        <v>-35.243719720092713</v>
      </c>
      <c r="H113" s="20">
        <f t="shared" si="25"/>
        <v>35.243719720092713</v>
      </c>
      <c r="I113" s="21">
        <f t="shared" si="26"/>
        <v>1242.1197797084519</v>
      </c>
      <c r="J113" s="21">
        <f t="shared" si="27"/>
        <v>37.896472817303994</v>
      </c>
    </row>
    <row r="115" spans="1:10" x14ac:dyDescent="0.35">
      <c r="A115" s="2" t="s">
        <v>178</v>
      </c>
      <c r="B115" s="2"/>
      <c r="C115" s="2"/>
      <c r="D115" s="2"/>
    </row>
    <row r="116" spans="1:10" x14ac:dyDescent="0.35">
      <c r="A116" s="1" t="s">
        <v>179</v>
      </c>
      <c r="B116" s="1"/>
      <c r="C116" s="1"/>
      <c r="D116" s="22">
        <f>AVERAGE(H93:H113)</f>
        <v>6.3351948979352501</v>
      </c>
    </row>
    <row r="117" spans="1:10" x14ac:dyDescent="0.35">
      <c r="A117" s="1" t="s">
        <v>180</v>
      </c>
      <c r="B117" s="1"/>
      <c r="C117" s="1"/>
      <c r="D117" s="22">
        <f>AVERAGE(I93:I113)</f>
        <v>97.291857744662437</v>
      </c>
    </row>
    <row r="118" spans="1:10" x14ac:dyDescent="0.35">
      <c r="A118" s="1" t="s">
        <v>181</v>
      </c>
      <c r="B118" s="1"/>
      <c r="C118" s="1"/>
      <c r="D118" s="23">
        <f>AVERAGE(J93:J113)</f>
        <v>5.4497205905270114</v>
      </c>
    </row>
    <row r="119" spans="1:10" x14ac:dyDescent="0.35">
      <c r="A119" s="1" t="s">
        <v>182</v>
      </c>
      <c r="B119" s="1"/>
      <c r="C119" s="1"/>
      <c r="D119" s="24" t="str">
        <f>IF(D118&lt;10,"Sangat Baik",IF(D118&lt;20,"Baik",IF(D118&lt;=50,"Cukup","Rendah")))</f>
        <v>Sangat Baik</v>
      </c>
    </row>
    <row r="120" spans="1:10" x14ac:dyDescent="0.35">
      <c r="A120" s="1" t="s">
        <v>183</v>
      </c>
      <c r="B120" s="1"/>
      <c r="C120" s="1"/>
      <c r="D120" s="23">
        <f>D113+E113</f>
        <v>93.21109633187487</v>
      </c>
    </row>
    <row r="121" spans="1:10" x14ac:dyDescent="0.35">
      <c r="A121" s="1" t="s">
        <v>184</v>
      </c>
      <c r="B121" s="1"/>
      <c r="C121" s="1"/>
      <c r="D121" s="23">
        <f>AVERAGE(C9:C113)</f>
        <v>117.27619047619048</v>
      </c>
    </row>
  </sheetData>
  <mergeCells count="9">
    <mergeCell ref="A118:C118"/>
    <mergeCell ref="A119:C119"/>
    <mergeCell ref="A120:C120"/>
    <mergeCell ref="A121:C121"/>
    <mergeCell ref="A1:J1"/>
    <mergeCell ref="A2:J2"/>
    <mergeCell ref="A115:D115"/>
    <mergeCell ref="A116:C116"/>
    <mergeCell ref="A117:C117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121"/>
  <sheetViews>
    <sheetView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8.6328125" defaultRowHeight="14.5" x14ac:dyDescent="0.35"/>
  <cols>
    <col min="1" max="1" width="9" customWidth="1"/>
    <col min="2" max="2" width="12" customWidth="1"/>
    <col min="3" max="3" width="9" customWidth="1"/>
    <col min="4" max="6" width="11" customWidth="1"/>
    <col min="7" max="8" width="10" customWidth="1"/>
    <col min="9" max="9" width="11" customWidth="1"/>
    <col min="10" max="10" width="10" customWidth="1"/>
  </cols>
  <sheetData>
    <row r="1" spans="1:10" ht="18" x14ac:dyDescent="0.4">
      <c r="A1" s="3" t="s">
        <v>188</v>
      </c>
      <c r="B1" s="3"/>
      <c r="C1" s="3"/>
      <c r="D1" s="3"/>
      <c r="E1" s="3"/>
      <c r="F1" s="3"/>
      <c r="G1" s="3"/>
      <c r="H1" s="3"/>
      <c r="I1" s="3"/>
      <c r="J1" s="3"/>
    </row>
    <row r="2" spans="1:10" ht="27.75" customHeight="1" x14ac:dyDescent="0.35">
      <c r="A2" s="4" t="s">
        <v>163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35">
      <c r="A4" s="15" t="s">
        <v>164</v>
      </c>
      <c r="B4" s="16" t="s">
        <v>9</v>
      </c>
      <c r="D4" s="15" t="s">
        <v>165</v>
      </c>
      <c r="E4" s="17">
        <v>0.1</v>
      </c>
      <c r="G4" s="15" t="s">
        <v>166</v>
      </c>
      <c r="H4" s="17">
        <v>0.2</v>
      </c>
    </row>
    <row r="5" spans="1:10" x14ac:dyDescent="0.35">
      <c r="A5" s="15" t="s">
        <v>167</v>
      </c>
      <c r="B5" s="18">
        <f>'Data Mentah'!G5</f>
        <v>7</v>
      </c>
      <c r="D5" s="15" t="s">
        <v>168</v>
      </c>
      <c r="E5" s="17">
        <v>0</v>
      </c>
    </row>
    <row r="7" spans="1:10" x14ac:dyDescent="0.35">
      <c r="A7" s="5" t="s">
        <v>169</v>
      </c>
      <c r="B7" s="5" t="s">
        <v>4</v>
      </c>
      <c r="C7" s="5" t="s">
        <v>170</v>
      </c>
      <c r="D7" s="5" t="s">
        <v>171</v>
      </c>
      <c r="E7" s="5" t="s">
        <v>172</v>
      </c>
      <c r="F7" s="5" t="s">
        <v>173</v>
      </c>
      <c r="G7" s="5" t="s">
        <v>174</v>
      </c>
      <c r="H7" s="5" t="s">
        <v>175</v>
      </c>
      <c r="I7" s="5" t="s">
        <v>176</v>
      </c>
      <c r="J7" s="5" t="s">
        <v>177</v>
      </c>
    </row>
    <row r="8" spans="1:10" x14ac:dyDescent="0.35">
      <c r="A8" s="6">
        <v>0</v>
      </c>
      <c r="B8" s="19" t="str">
        <f>'Data Mentah'!B5</f>
        <v>26/12/2022</v>
      </c>
      <c r="C8" s="19">
        <f>'Data Mentah'!G5</f>
        <v>7</v>
      </c>
      <c r="D8" s="10">
        <f>$B$5</f>
        <v>7</v>
      </c>
      <c r="E8" s="10">
        <f>$E$5</f>
        <v>0</v>
      </c>
    </row>
    <row r="9" spans="1:10" x14ac:dyDescent="0.35">
      <c r="A9" s="6">
        <v>1</v>
      </c>
      <c r="B9" s="19" t="str">
        <f>'Data Mentah'!B6</f>
        <v>02/01/2023</v>
      </c>
      <c r="C9" s="19">
        <f>'Data Mentah'!G6</f>
        <v>37</v>
      </c>
      <c r="D9" s="20">
        <f t="shared" ref="D9:D40" si="0">$E$4*C9+(1-$E$4)*(D8+E8)</f>
        <v>10</v>
      </c>
      <c r="E9" s="20">
        <f t="shared" ref="E9:E40" si="1">$H$4*(D9-D8)+(1-$H$4)*E8</f>
        <v>0.60000000000000009</v>
      </c>
      <c r="F9" s="20">
        <f t="shared" ref="F9:F40" si="2">D8+E8</f>
        <v>7</v>
      </c>
      <c r="G9" s="20">
        <f t="shared" ref="G9:G40" si="3">C9-F9</f>
        <v>30</v>
      </c>
      <c r="H9" s="20">
        <f t="shared" ref="H9:H40" si="4">ABS(G9)</f>
        <v>30</v>
      </c>
      <c r="I9" s="21">
        <f t="shared" ref="I9:I40" si="5">G9^2</f>
        <v>900</v>
      </c>
      <c r="J9" s="21">
        <f t="shared" ref="J9:J40" si="6">ABS(G9/C9)*100</f>
        <v>81.081081081081081</v>
      </c>
    </row>
    <row r="10" spans="1:10" x14ac:dyDescent="0.35">
      <c r="A10" s="6">
        <v>2</v>
      </c>
      <c r="B10" s="19" t="str">
        <f>'Data Mentah'!B7</f>
        <v>09/01/2023</v>
      </c>
      <c r="C10" s="19">
        <f>'Data Mentah'!G7</f>
        <v>63</v>
      </c>
      <c r="D10" s="20">
        <f t="shared" si="0"/>
        <v>15.84</v>
      </c>
      <c r="E10" s="20">
        <f t="shared" si="1"/>
        <v>1.6480000000000001</v>
      </c>
      <c r="F10" s="20">
        <f t="shared" si="2"/>
        <v>10.6</v>
      </c>
      <c r="G10" s="20">
        <f t="shared" si="3"/>
        <v>52.4</v>
      </c>
      <c r="H10" s="20">
        <f t="shared" si="4"/>
        <v>52.4</v>
      </c>
      <c r="I10" s="21">
        <f t="shared" si="5"/>
        <v>2745.7599999999998</v>
      </c>
      <c r="J10" s="21">
        <f t="shared" si="6"/>
        <v>83.174603174603163</v>
      </c>
    </row>
    <row r="11" spans="1:10" x14ac:dyDescent="0.35">
      <c r="A11" s="6">
        <v>3</v>
      </c>
      <c r="B11" s="19" t="str">
        <f>'Data Mentah'!B8</f>
        <v>16/01/2023</v>
      </c>
      <c r="C11" s="19">
        <f>'Data Mentah'!G8</f>
        <v>78</v>
      </c>
      <c r="D11" s="20">
        <f t="shared" si="0"/>
        <v>23.539200000000001</v>
      </c>
      <c r="E11" s="20">
        <f t="shared" si="1"/>
        <v>2.8582400000000003</v>
      </c>
      <c r="F11" s="20">
        <f t="shared" si="2"/>
        <v>17.488</v>
      </c>
      <c r="G11" s="20">
        <f t="shared" si="3"/>
        <v>60.512</v>
      </c>
      <c r="H11" s="20">
        <f t="shared" si="4"/>
        <v>60.512</v>
      </c>
      <c r="I11" s="21">
        <f t="shared" si="5"/>
        <v>3661.7021439999999</v>
      </c>
      <c r="J11" s="21">
        <f t="shared" si="6"/>
        <v>77.579487179487188</v>
      </c>
    </row>
    <row r="12" spans="1:10" x14ac:dyDescent="0.35">
      <c r="A12" s="6">
        <v>4</v>
      </c>
      <c r="B12" s="19" t="str">
        <f>'Data Mentah'!B9</f>
        <v>23/01/2023</v>
      </c>
      <c r="C12" s="19">
        <f>'Data Mentah'!G9</f>
        <v>109</v>
      </c>
      <c r="D12" s="20">
        <f t="shared" si="0"/>
        <v>34.657696000000001</v>
      </c>
      <c r="E12" s="20">
        <f t="shared" si="1"/>
        <v>4.5102912000000002</v>
      </c>
      <c r="F12" s="20">
        <f t="shared" si="2"/>
        <v>26.397440000000003</v>
      </c>
      <c r="G12" s="20">
        <f t="shared" si="3"/>
        <v>82.602559999999997</v>
      </c>
      <c r="H12" s="20">
        <f t="shared" si="4"/>
        <v>82.602559999999997</v>
      </c>
      <c r="I12" s="21">
        <f t="shared" si="5"/>
        <v>6823.1829185535998</v>
      </c>
      <c r="J12" s="21">
        <f t="shared" si="6"/>
        <v>75.782165137614683</v>
      </c>
    </row>
    <row r="13" spans="1:10" x14ac:dyDescent="0.35">
      <c r="A13" s="6">
        <v>5</v>
      </c>
      <c r="B13" s="19" t="str">
        <f>'Data Mentah'!B10</f>
        <v>30/01/2023</v>
      </c>
      <c r="C13" s="19">
        <f>'Data Mentah'!G10</f>
        <v>133</v>
      </c>
      <c r="D13" s="20">
        <f t="shared" si="0"/>
        <v>48.551188480000008</v>
      </c>
      <c r="E13" s="20">
        <f t="shared" si="1"/>
        <v>6.3869314560000019</v>
      </c>
      <c r="F13" s="20">
        <f t="shared" si="2"/>
        <v>39.167987199999999</v>
      </c>
      <c r="G13" s="20">
        <f t="shared" si="3"/>
        <v>93.832012800000001</v>
      </c>
      <c r="H13" s="20">
        <f t="shared" si="4"/>
        <v>93.832012800000001</v>
      </c>
      <c r="I13" s="21">
        <f t="shared" si="5"/>
        <v>8804.4466260993649</v>
      </c>
      <c r="J13" s="21">
        <f t="shared" si="6"/>
        <v>70.550385563909785</v>
      </c>
    </row>
    <row r="14" spans="1:10" x14ac:dyDescent="0.35">
      <c r="A14" s="6">
        <v>6</v>
      </c>
      <c r="B14" s="19" t="str">
        <f>'Data Mentah'!B11</f>
        <v>06/02/2023</v>
      </c>
      <c r="C14" s="19">
        <f>'Data Mentah'!G11</f>
        <v>131</v>
      </c>
      <c r="D14" s="20">
        <f t="shared" si="0"/>
        <v>62.54430794240001</v>
      </c>
      <c r="E14" s="20">
        <f t="shared" si="1"/>
        <v>7.9081690572800021</v>
      </c>
      <c r="F14" s="20">
        <f t="shared" si="2"/>
        <v>54.938119936000007</v>
      </c>
      <c r="G14" s="20">
        <f t="shared" si="3"/>
        <v>76.061880063999993</v>
      </c>
      <c r="H14" s="20">
        <f t="shared" si="4"/>
        <v>76.061880063999993</v>
      </c>
      <c r="I14" s="21">
        <f t="shared" si="5"/>
        <v>5785.4095988703193</v>
      </c>
      <c r="J14" s="21">
        <f t="shared" si="6"/>
        <v>58.06250386564885</v>
      </c>
    </row>
    <row r="15" spans="1:10" x14ac:dyDescent="0.35">
      <c r="A15" s="6">
        <v>7</v>
      </c>
      <c r="B15" s="19" t="str">
        <f>'Data Mentah'!B12</f>
        <v>13/02/2023</v>
      </c>
      <c r="C15" s="19">
        <f>'Data Mentah'!G12</f>
        <v>130</v>
      </c>
      <c r="D15" s="20">
        <f t="shared" si="0"/>
        <v>76.407229299712014</v>
      </c>
      <c r="E15" s="20">
        <f t="shared" si="1"/>
        <v>9.0991195172864039</v>
      </c>
      <c r="F15" s="20">
        <f t="shared" si="2"/>
        <v>70.452476999680016</v>
      </c>
      <c r="G15" s="20">
        <f t="shared" si="3"/>
        <v>59.547523000319984</v>
      </c>
      <c r="H15" s="20">
        <f t="shared" si="4"/>
        <v>59.547523000319984</v>
      </c>
      <c r="I15" s="21">
        <f t="shared" si="5"/>
        <v>3545.9074954736375</v>
      </c>
      <c r="J15" s="21">
        <f t="shared" si="6"/>
        <v>45.805786923323069</v>
      </c>
    </row>
    <row r="16" spans="1:10" x14ac:dyDescent="0.35">
      <c r="A16" s="6">
        <v>8</v>
      </c>
      <c r="B16" s="19" t="str">
        <f>'Data Mentah'!B13</f>
        <v>20/02/2023</v>
      </c>
      <c r="C16" s="19">
        <f>'Data Mentah'!G13</f>
        <v>127</v>
      </c>
      <c r="D16" s="20">
        <f t="shared" si="0"/>
        <v>89.655713935298579</v>
      </c>
      <c r="E16" s="20">
        <f t="shared" si="1"/>
        <v>9.928992540946437</v>
      </c>
      <c r="F16" s="20">
        <f t="shared" si="2"/>
        <v>85.506348816998411</v>
      </c>
      <c r="G16" s="20">
        <f t="shared" si="3"/>
        <v>41.493651183001589</v>
      </c>
      <c r="H16" s="20">
        <f t="shared" si="4"/>
        <v>41.493651183001589</v>
      </c>
      <c r="I16" s="21">
        <f t="shared" si="5"/>
        <v>1721.7230884966091</v>
      </c>
      <c r="J16" s="21">
        <f t="shared" si="6"/>
        <v>32.672166285828027</v>
      </c>
    </row>
    <row r="17" spans="1:10" x14ac:dyDescent="0.35">
      <c r="A17" s="6">
        <v>9</v>
      </c>
      <c r="B17" s="19" t="str">
        <f>'Data Mentah'!B14</f>
        <v>27/02/2023</v>
      </c>
      <c r="C17" s="19">
        <f>'Data Mentah'!G14</f>
        <v>122</v>
      </c>
      <c r="D17" s="20">
        <f t="shared" si="0"/>
        <v>101.82623582862053</v>
      </c>
      <c r="E17" s="20">
        <f t="shared" si="1"/>
        <v>10.37729841142154</v>
      </c>
      <c r="F17" s="20">
        <f t="shared" si="2"/>
        <v>99.584706476245017</v>
      </c>
      <c r="G17" s="20">
        <f t="shared" si="3"/>
        <v>22.415293523754983</v>
      </c>
      <c r="H17" s="20">
        <f t="shared" si="4"/>
        <v>22.415293523754983</v>
      </c>
      <c r="I17" s="21">
        <f t="shared" si="5"/>
        <v>502.44538375609204</v>
      </c>
      <c r="J17" s="21">
        <f t="shared" si="6"/>
        <v>18.373191412913918</v>
      </c>
    </row>
    <row r="18" spans="1:10" x14ac:dyDescent="0.35">
      <c r="A18" s="6">
        <v>10</v>
      </c>
      <c r="B18" s="19" t="str">
        <f>'Data Mentah'!B15</f>
        <v>06/03/2023</v>
      </c>
      <c r="C18" s="19">
        <f>'Data Mentah'!G15</f>
        <v>121</v>
      </c>
      <c r="D18" s="20">
        <f t="shared" si="0"/>
        <v>113.08318081603787</v>
      </c>
      <c r="E18" s="20">
        <f t="shared" si="1"/>
        <v>10.553227726620701</v>
      </c>
      <c r="F18" s="20">
        <f t="shared" si="2"/>
        <v>112.20353424004206</v>
      </c>
      <c r="G18" s="20">
        <f t="shared" si="3"/>
        <v>8.7964657599579397</v>
      </c>
      <c r="H18" s="20">
        <f t="shared" si="4"/>
        <v>8.7964657599579397</v>
      </c>
      <c r="I18" s="21">
        <f t="shared" si="5"/>
        <v>77.377809866112415</v>
      </c>
      <c r="J18" s="21">
        <f t="shared" si="6"/>
        <v>7.2698064131883804</v>
      </c>
    </row>
    <row r="19" spans="1:10" x14ac:dyDescent="0.35">
      <c r="A19" s="6">
        <v>11</v>
      </c>
      <c r="B19" s="19" t="str">
        <f>'Data Mentah'!B16</f>
        <v>13/03/2023</v>
      </c>
      <c r="C19" s="19">
        <f>'Data Mentah'!G16</f>
        <v>127</v>
      </c>
      <c r="D19" s="20">
        <f t="shared" si="0"/>
        <v>123.97276768839272</v>
      </c>
      <c r="E19" s="20">
        <f t="shared" si="1"/>
        <v>10.620499555767532</v>
      </c>
      <c r="F19" s="20">
        <f t="shared" si="2"/>
        <v>123.63640854265857</v>
      </c>
      <c r="G19" s="20">
        <f t="shared" si="3"/>
        <v>3.3635914573414283</v>
      </c>
      <c r="H19" s="20">
        <f t="shared" si="4"/>
        <v>3.3635914573414283</v>
      </c>
      <c r="I19" s="21">
        <f t="shared" si="5"/>
        <v>11.313747491900234</v>
      </c>
      <c r="J19" s="21">
        <f t="shared" si="6"/>
        <v>2.6484972105050617</v>
      </c>
    </row>
    <row r="20" spans="1:10" x14ac:dyDescent="0.35">
      <c r="A20" s="6">
        <v>12</v>
      </c>
      <c r="B20" s="19" t="str">
        <f>'Data Mentah'!B17</f>
        <v>20/03/2023</v>
      </c>
      <c r="C20" s="19">
        <f>'Data Mentah'!G17</f>
        <v>137</v>
      </c>
      <c r="D20" s="20">
        <f t="shared" si="0"/>
        <v>134.83394051974423</v>
      </c>
      <c r="E20" s="20">
        <f t="shared" si="1"/>
        <v>10.668634210884328</v>
      </c>
      <c r="F20" s="20">
        <f t="shared" si="2"/>
        <v>134.59326724416024</v>
      </c>
      <c r="G20" s="20">
        <f t="shared" si="3"/>
        <v>2.4067327558397551</v>
      </c>
      <c r="H20" s="20">
        <f t="shared" si="4"/>
        <v>2.4067327558397551</v>
      </c>
      <c r="I20" s="21">
        <f t="shared" si="5"/>
        <v>5.7923625580320222</v>
      </c>
      <c r="J20" s="21">
        <f t="shared" si="6"/>
        <v>1.7567392378392375</v>
      </c>
    </row>
    <row r="21" spans="1:10" x14ac:dyDescent="0.35">
      <c r="A21" s="6">
        <v>13</v>
      </c>
      <c r="B21" s="19" t="str">
        <f>'Data Mentah'!B18</f>
        <v>27/03/2023</v>
      </c>
      <c r="C21" s="19">
        <f>'Data Mentah'!G18</f>
        <v>131</v>
      </c>
      <c r="D21" s="20">
        <f t="shared" si="0"/>
        <v>144.0523172575657</v>
      </c>
      <c r="E21" s="20">
        <f t="shared" si="1"/>
        <v>10.378582716271758</v>
      </c>
      <c r="F21" s="20">
        <f t="shared" si="2"/>
        <v>145.50257473062857</v>
      </c>
      <c r="G21" s="20">
        <f t="shared" si="3"/>
        <v>-14.502574730628567</v>
      </c>
      <c r="H21" s="20">
        <f t="shared" si="4"/>
        <v>14.502574730628567</v>
      </c>
      <c r="I21" s="21">
        <f t="shared" si="5"/>
        <v>210.32467381746625</v>
      </c>
      <c r="J21" s="21">
        <f t="shared" si="6"/>
        <v>11.07066773330425</v>
      </c>
    </row>
    <row r="22" spans="1:10" x14ac:dyDescent="0.35">
      <c r="A22" s="6">
        <v>14</v>
      </c>
      <c r="B22" s="19" t="str">
        <f>'Data Mentah'!B19</f>
        <v>03/04/2023</v>
      </c>
      <c r="C22" s="19">
        <f>'Data Mentah'!G19</f>
        <v>137</v>
      </c>
      <c r="D22" s="20">
        <f t="shared" si="0"/>
        <v>152.68780997645371</v>
      </c>
      <c r="E22" s="20">
        <f t="shared" si="1"/>
        <v>10.029964716795007</v>
      </c>
      <c r="F22" s="20">
        <f t="shared" si="2"/>
        <v>154.43089997383746</v>
      </c>
      <c r="G22" s="20">
        <f t="shared" si="3"/>
        <v>-17.430899973837455</v>
      </c>
      <c r="H22" s="20">
        <f t="shared" si="4"/>
        <v>17.430899973837455</v>
      </c>
      <c r="I22" s="21">
        <f t="shared" si="5"/>
        <v>303.83627389792662</v>
      </c>
      <c r="J22" s="21">
        <f t="shared" si="6"/>
        <v>12.723284652436098</v>
      </c>
    </row>
    <row r="23" spans="1:10" x14ac:dyDescent="0.35">
      <c r="A23" s="6">
        <v>15</v>
      </c>
      <c r="B23" s="19" t="str">
        <f>'Data Mentah'!B20</f>
        <v>10/04/2023</v>
      </c>
      <c r="C23" s="19">
        <f>'Data Mentah'!G20</f>
        <v>139</v>
      </c>
      <c r="D23" s="20">
        <f t="shared" si="0"/>
        <v>160.34599722392386</v>
      </c>
      <c r="E23" s="20">
        <f t="shared" si="1"/>
        <v>9.5556092229300376</v>
      </c>
      <c r="F23" s="20">
        <f t="shared" si="2"/>
        <v>162.71777469324871</v>
      </c>
      <c r="G23" s="20">
        <f t="shared" si="3"/>
        <v>-23.717774693248714</v>
      </c>
      <c r="H23" s="20">
        <f t="shared" si="4"/>
        <v>23.717774693248714</v>
      </c>
      <c r="I23" s="21">
        <f t="shared" si="5"/>
        <v>562.53283639970914</v>
      </c>
      <c r="J23" s="21">
        <f t="shared" si="6"/>
        <v>17.063147261330013</v>
      </c>
    </row>
    <row r="24" spans="1:10" x14ac:dyDescent="0.35">
      <c r="A24" s="6">
        <v>16</v>
      </c>
      <c r="B24" s="19" t="str">
        <f>'Data Mentah'!B21</f>
        <v>17/04/2023</v>
      </c>
      <c r="C24" s="19">
        <f>'Data Mentah'!G21</f>
        <v>126</v>
      </c>
      <c r="D24" s="20">
        <f t="shared" si="0"/>
        <v>165.51144580216851</v>
      </c>
      <c r="E24" s="20">
        <f t="shared" si="1"/>
        <v>8.6775770939929604</v>
      </c>
      <c r="F24" s="20">
        <f t="shared" si="2"/>
        <v>169.90160644685389</v>
      </c>
      <c r="G24" s="20">
        <f t="shared" si="3"/>
        <v>-43.90160644685389</v>
      </c>
      <c r="H24" s="20">
        <f t="shared" si="4"/>
        <v>43.90160644685389</v>
      </c>
      <c r="I24" s="21">
        <f t="shared" si="5"/>
        <v>1927.351048614443</v>
      </c>
      <c r="J24" s="21">
        <f t="shared" si="6"/>
        <v>34.84254479909039</v>
      </c>
    </row>
    <row r="25" spans="1:10" x14ac:dyDescent="0.35">
      <c r="A25" s="6">
        <v>17</v>
      </c>
      <c r="B25" s="19" t="str">
        <f>'Data Mentah'!B22</f>
        <v>24/04/2023</v>
      </c>
      <c r="C25" s="19">
        <f>'Data Mentah'!G22</f>
        <v>122</v>
      </c>
      <c r="D25" s="20">
        <f t="shared" si="0"/>
        <v>168.97012060654532</v>
      </c>
      <c r="E25" s="20">
        <f t="shared" si="1"/>
        <v>7.6337966360697314</v>
      </c>
      <c r="F25" s="20">
        <f t="shared" si="2"/>
        <v>174.18902289616148</v>
      </c>
      <c r="G25" s="20">
        <f t="shared" si="3"/>
        <v>-52.189022896161475</v>
      </c>
      <c r="H25" s="20">
        <f t="shared" si="4"/>
        <v>52.189022896161475</v>
      </c>
      <c r="I25" s="21">
        <f t="shared" si="5"/>
        <v>2723.6941108560668</v>
      </c>
      <c r="J25" s="21">
        <f t="shared" si="6"/>
        <v>42.777887619804488</v>
      </c>
    </row>
    <row r="26" spans="1:10" x14ac:dyDescent="0.35">
      <c r="A26" s="6">
        <v>18</v>
      </c>
      <c r="B26" s="19" t="str">
        <f>'Data Mentah'!B23</f>
        <v>01/05/2023</v>
      </c>
      <c r="C26" s="19">
        <f>'Data Mentah'!G23</f>
        <v>122</v>
      </c>
      <c r="D26" s="20">
        <f t="shared" si="0"/>
        <v>171.14352551835353</v>
      </c>
      <c r="E26" s="20">
        <f t="shared" si="1"/>
        <v>6.5417182912174265</v>
      </c>
      <c r="F26" s="20">
        <f t="shared" si="2"/>
        <v>176.60391724261504</v>
      </c>
      <c r="G26" s="20">
        <f t="shared" si="3"/>
        <v>-54.60391724261504</v>
      </c>
      <c r="H26" s="20">
        <f t="shared" si="4"/>
        <v>54.60391724261504</v>
      </c>
      <c r="I26" s="21">
        <f t="shared" si="5"/>
        <v>2981.5877782383523</v>
      </c>
      <c r="J26" s="21">
        <f t="shared" si="6"/>
        <v>44.757309215258232</v>
      </c>
    </row>
    <row r="27" spans="1:10" x14ac:dyDescent="0.35">
      <c r="A27" s="6">
        <v>19</v>
      </c>
      <c r="B27" s="19" t="str">
        <f>'Data Mentah'!B24</f>
        <v>08/05/2023</v>
      </c>
      <c r="C27" s="19">
        <f>'Data Mentah'!G24</f>
        <v>116</v>
      </c>
      <c r="D27" s="20">
        <f t="shared" si="0"/>
        <v>171.51671942861384</v>
      </c>
      <c r="E27" s="20">
        <f t="shared" si="1"/>
        <v>5.3080134150260037</v>
      </c>
      <c r="F27" s="20">
        <f t="shared" si="2"/>
        <v>177.68524380957095</v>
      </c>
      <c r="G27" s="20">
        <f t="shared" si="3"/>
        <v>-61.685243809570949</v>
      </c>
      <c r="H27" s="20">
        <f t="shared" si="4"/>
        <v>61.685243809570949</v>
      </c>
      <c r="I27" s="21">
        <f t="shared" si="5"/>
        <v>3805.0693038462109</v>
      </c>
      <c r="J27" s="21">
        <f t="shared" si="6"/>
        <v>53.176934318595649</v>
      </c>
    </row>
    <row r="28" spans="1:10" x14ac:dyDescent="0.35">
      <c r="A28" s="6">
        <v>20</v>
      </c>
      <c r="B28" s="19" t="str">
        <f>'Data Mentah'!B25</f>
        <v>15/05/2023</v>
      </c>
      <c r="C28" s="19">
        <f>'Data Mentah'!G25</f>
        <v>121</v>
      </c>
      <c r="D28" s="20">
        <f t="shared" si="0"/>
        <v>171.24225955927585</v>
      </c>
      <c r="E28" s="20">
        <f t="shared" si="1"/>
        <v>4.1915187581532054</v>
      </c>
      <c r="F28" s="20">
        <f t="shared" si="2"/>
        <v>176.82473284363985</v>
      </c>
      <c r="G28" s="20">
        <f t="shared" si="3"/>
        <v>-55.82473284363985</v>
      </c>
      <c r="H28" s="20">
        <f t="shared" si="4"/>
        <v>55.82473284363985</v>
      </c>
      <c r="I28" s="21">
        <f t="shared" si="5"/>
        <v>3116.4007970637617</v>
      </c>
      <c r="J28" s="21">
        <f t="shared" si="6"/>
        <v>46.136142845983343</v>
      </c>
    </row>
    <row r="29" spans="1:10" x14ac:dyDescent="0.35">
      <c r="A29" s="6">
        <v>21</v>
      </c>
      <c r="B29" s="19" t="str">
        <f>'Data Mentah'!B26</f>
        <v>22/05/2023</v>
      </c>
      <c r="C29" s="19">
        <f>'Data Mentah'!G26</f>
        <v>126</v>
      </c>
      <c r="D29" s="20">
        <f t="shared" si="0"/>
        <v>170.49040048568614</v>
      </c>
      <c r="E29" s="20">
        <f t="shared" si="1"/>
        <v>3.2028431918046216</v>
      </c>
      <c r="F29" s="20">
        <f t="shared" si="2"/>
        <v>175.43377831742905</v>
      </c>
      <c r="G29" s="20">
        <f t="shared" si="3"/>
        <v>-49.433778317429045</v>
      </c>
      <c r="H29" s="20">
        <f t="shared" si="4"/>
        <v>49.433778317429045</v>
      </c>
      <c r="I29" s="21">
        <f t="shared" si="5"/>
        <v>2443.6984387367179</v>
      </c>
      <c r="J29" s="21">
        <f t="shared" si="6"/>
        <v>39.233157394784953</v>
      </c>
    </row>
    <row r="30" spans="1:10" x14ac:dyDescent="0.35">
      <c r="A30" s="6">
        <v>22</v>
      </c>
      <c r="B30" s="19" t="str">
        <f>'Data Mentah'!B27</f>
        <v>29/05/2023</v>
      </c>
      <c r="C30" s="19">
        <f>'Data Mentah'!G27</f>
        <v>114</v>
      </c>
      <c r="D30" s="20">
        <f t="shared" si="0"/>
        <v>167.72391930974169</v>
      </c>
      <c r="E30" s="20">
        <f t="shared" si="1"/>
        <v>2.0089783182548078</v>
      </c>
      <c r="F30" s="20">
        <f t="shared" si="2"/>
        <v>173.69324367749076</v>
      </c>
      <c r="G30" s="20">
        <f t="shared" si="3"/>
        <v>-59.693243677490756</v>
      </c>
      <c r="H30" s="20">
        <f t="shared" si="4"/>
        <v>59.693243677490756</v>
      </c>
      <c r="I30" s="21">
        <f t="shared" si="5"/>
        <v>3563.28334074029</v>
      </c>
      <c r="J30" s="21">
        <f t="shared" si="6"/>
        <v>52.362494453939256</v>
      </c>
    </row>
    <row r="31" spans="1:10" x14ac:dyDescent="0.35">
      <c r="A31" s="6">
        <v>23</v>
      </c>
      <c r="B31" s="19" t="str">
        <f>'Data Mentah'!B28</f>
        <v>05/06/2023</v>
      </c>
      <c r="C31" s="19">
        <f>'Data Mentah'!G28</f>
        <v>107</v>
      </c>
      <c r="D31" s="20">
        <f t="shared" si="0"/>
        <v>163.45960786519683</v>
      </c>
      <c r="E31" s="20">
        <f t="shared" si="1"/>
        <v>0.75432036569487448</v>
      </c>
      <c r="F31" s="20">
        <f t="shared" si="2"/>
        <v>169.73289762799649</v>
      </c>
      <c r="G31" s="20">
        <f t="shared" si="3"/>
        <v>-62.732897627996493</v>
      </c>
      <c r="H31" s="20">
        <f t="shared" si="4"/>
        <v>62.732897627996493</v>
      </c>
      <c r="I31" s="21">
        <f t="shared" si="5"/>
        <v>3935.4164448046881</v>
      </c>
      <c r="J31" s="21">
        <f t="shared" si="6"/>
        <v>58.628876287847184</v>
      </c>
    </row>
    <row r="32" spans="1:10" x14ac:dyDescent="0.35">
      <c r="A32" s="6">
        <v>24</v>
      </c>
      <c r="B32" s="19" t="str">
        <f>'Data Mentah'!B29</f>
        <v>12/06/2023</v>
      </c>
      <c r="C32" s="19">
        <f>'Data Mentah'!G29</f>
        <v>118</v>
      </c>
      <c r="D32" s="20">
        <f t="shared" si="0"/>
        <v>159.59253540780253</v>
      </c>
      <c r="E32" s="20">
        <f t="shared" si="1"/>
        <v>-0.16995819892296049</v>
      </c>
      <c r="F32" s="20">
        <f t="shared" si="2"/>
        <v>164.2139282308917</v>
      </c>
      <c r="G32" s="20">
        <f t="shared" si="3"/>
        <v>-46.213928230891696</v>
      </c>
      <c r="H32" s="20">
        <f t="shared" si="4"/>
        <v>46.213928230891696</v>
      </c>
      <c r="I32" s="21">
        <f t="shared" si="5"/>
        <v>2135.7271625300086</v>
      </c>
      <c r="J32" s="21">
        <f t="shared" si="6"/>
        <v>39.164345958382796</v>
      </c>
    </row>
    <row r="33" spans="1:10" x14ac:dyDescent="0.35">
      <c r="A33" s="6">
        <v>25</v>
      </c>
      <c r="B33" s="19" t="str">
        <f>'Data Mentah'!B30</f>
        <v>19/06/2023</v>
      </c>
      <c r="C33" s="19">
        <f>'Data Mentah'!G30</f>
        <v>119</v>
      </c>
      <c r="D33" s="20">
        <f t="shared" si="0"/>
        <v>155.38031948799161</v>
      </c>
      <c r="E33" s="20">
        <f t="shared" si="1"/>
        <v>-0.97840974310055162</v>
      </c>
      <c r="F33" s="20">
        <f t="shared" si="2"/>
        <v>159.42257720887957</v>
      </c>
      <c r="G33" s="20">
        <f t="shared" si="3"/>
        <v>-40.422577208879574</v>
      </c>
      <c r="H33" s="20">
        <f t="shared" si="4"/>
        <v>40.422577208879574</v>
      </c>
      <c r="I33" s="21">
        <f t="shared" si="5"/>
        <v>1633.9847482078303</v>
      </c>
      <c r="J33" s="21">
        <f t="shared" si="6"/>
        <v>33.968552276369394</v>
      </c>
    </row>
    <row r="34" spans="1:10" x14ac:dyDescent="0.35">
      <c r="A34" s="6">
        <v>26</v>
      </c>
      <c r="B34" s="19" t="str">
        <f>'Data Mentah'!B31</f>
        <v>26/06/2023</v>
      </c>
      <c r="C34" s="19">
        <f>'Data Mentah'!G31</f>
        <v>133</v>
      </c>
      <c r="D34" s="20">
        <f t="shared" si="0"/>
        <v>152.26171877040198</v>
      </c>
      <c r="E34" s="20">
        <f t="shared" si="1"/>
        <v>-1.4064479379983674</v>
      </c>
      <c r="F34" s="20">
        <f t="shared" si="2"/>
        <v>154.40190974489107</v>
      </c>
      <c r="G34" s="20">
        <f t="shared" si="3"/>
        <v>-21.401909744891071</v>
      </c>
      <c r="H34" s="20">
        <f t="shared" si="4"/>
        <v>21.401909744891071</v>
      </c>
      <c r="I34" s="21">
        <f t="shared" si="5"/>
        <v>458.04174072846342</v>
      </c>
      <c r="J34" s="21">
        <f t="shared" si="6"/>
        <v>16.091661462324115</v>
      </c>
    </row>
    <row r="35" spans="1:10" x14ac:dyDescent="0.35">
      <c r="A35" s="6">
        <v>27</v>
      </c>
      <c r="B35" s="19" t="str">
        <f>'Data Mentah'!B32</f>
        <v>03/07/2023</v>
      </c>
      <c r="C35" s="19">
        <f>'Data Mentah'!G32</f>
        <v>139</v>
      </c>
      <c r="D35" s="20">
        <f t="shared" si="0"/>
        <v>149.66974374916327</v>
      </c>
      <c r="E35" s="20">
        <f t="shared" si="1"/>
        <v>-1.643553354646436</v>
      </c>
      <c r="F35" s="20">
        <f t="shared" si="2"/>
        <v>150.85527083240362</v>
      </c>
      <c r="G35" s="20">
        <f t="shared" si="3"/>
        <v>-11.855270832403619</v>
      </c>
      <c r="H35" s="20">
        <f t="shared" si="4"/>
        <v>11.855270832403619</v>
      </c>
      <c r="I35" s="21">
        <f t="shared" si="5"/>
        <v>140.54744650964</v>
      </c>
      <c r="J35" s="21">
        <f t="shared" si="6"/>
        <v>8.5289718218731068</v>
      </c>
    </row>
    <row r="36" spans="1:10" x14ac:dyDescent="0.35">
      <c r="A36" s="6">
        <v>28</v>
      </c>
      <c r="B36" s="19" t="str">
        <f>'Data Mentah'!B33</f>
        <v>10/07/2023</v>
      </c>
      <c r="C36" s="19">
        <f>'Data Mentah'!G33</f>
        <v>129</v>
      </c>
      <c r="D36" s="20">
        <f t="shared" si="0"/>
        <v>146.12357135506517</v>
      </c>
      <c r="E36" s="20">
        <f t="shared" si="1"/>
        <v>-2.0240771625367704</v>
      </c>
      <c r="F36" s="20">
        <f t="shared" si="2"/>
        <v>148.02619039451685</v>
      </c>
      <c r="G36" s="20">
        <f t="shared" si="3"/>
        <v>-19.026190394516846</v>
      </c>
      <c r="H36" s="20">
        <f t="shared" si="4"/>
        <v>19.026190394516846</v>
      </c>
      <c r="I36" s="21">
        <f t="shared" si="5"/>
        <v>361.9959209284051</v>
      </c>
      <c r="J36" s="21">
        <f t="shared" si="6"/>
        <v>14.748984801951043</v>
      </c>
    </row>
    <row r="37" spans="1:10" x14ac:dyDescent="0.35">
      <c r="A37" s="6">
        <v>29</v>
      </c>
      <c r="B37" s="19" t="str">
        <f>'Data Mentah'!B34</f>
        <v>17/07/2023</v>
      </c>
      <c r="C37" s="19">
        <f>'Data Mentah'!G34</f>
        <v>124</v>
      </c>
      <c r="D37" s="20">
        <f t="shared" si="0"/>
        <v>142.08954477327558</v>
      </c>
      <c r="E37" s="20">
        <f t="shared" si="1"/>
        <v>-2.4260670463873342</v>
      </c>
      <c r="F37" s="20">
        <f t="shared" si="2"/>
        <v>144.0994941925284</v>
      </c>
      <c r="G37" s="20">
        <f t="shared" si="3"/>
        <v>-20.099494192528397</v>
      </c>
      <c r="H37" s="20">
        <f t="shared" si="4"/>
        <v>20.099494192528397</v>
      </c>
      <c r="I37" s="21">
        <f t="shared" si="5"/>
        <v>403.98966679548272</v>
      </c>
      <c r="J37" s="21">
        <f t="shared" si="6"/>
        <v>16.209269510103546</v>
      </c>
    </row>
    <row r="38" spans="1:10" x14ac:dyDescent="0.35">
      <c r="A38" s="6">
        <v>30</v>
      </c>
      <c r="B38" s="19" t="str">
        <f>'Data Mentah'!B35</f>
        <v>24/07/2023</v>
      </c>
      <c r="C38" s="19">
        <f>'Data Mentah'!G35</f>
        <v>129</v>
      </c>
      <c r="D38" s="20">
        <f t="shared" si="0"/>
        <v>138.5971299541994</v>
      </c>
      <c r="E38" s="20">
        <f t="shared" si="1"/>
        <v>-2.6393366009251022</v>
      </c>
      <c r="F38" s="20">
        <f t="shared" si="2"/>
        <v>139.66347772688823</v>
      </c>
      <c r="G38" s="20">
        <f t="shared" si="3"/>
        <v>-10.663477726888232</v>
      </c>
      <c r="H38" s="20">
        <f t="shared" si="4"/>
        <v>10.663477726888232</v>
      </c>
      <c r="I38" s="21">
        <f t="shared" si="5"/>
        <v>113.70975723184141</v>
      </c>
      <c r="J38" s="21">
        <f t="shared" si="6"/>
        <v>8.2662618037893267</v>
      </c>
    </row>
    <row r="39" spans="1:10" x14ac:dyDescent="0.35">
      <c r="A39" s="6">
        <v>31</v>
      </c>
      <c r="B39" s="19" t="str">
        <f>'Data Mentah'!B36</f>
        <v>31/07/2023</v>
      </c>
      <c r="C39" s="19">
        <f>'Data Mentah'!G36</f>
        <v>131</v>
      </c>
      <c r="D39" s="20">
        <f t="shared" si="0"/>
        <v>135.46201401794687</v>
      </c>
      <c r="E39" s="20">
        <f t="shared" si="1"/>
        <v>-2.7384924679905884</v>
      </c>
      <c r="F39" s="20">
        <f t="shared" si="2"/>
        <v>135.9577933532743</v>
      </c>
      <c r="G39" s="20">
        <f t="shared" si="3"/>
        <v>-4.9577933532742975</v>
      </c>
      <c r="H39" s="20">
        <f t="shared" si="4"/>
        <v>4.9577933532742975</v>
      </c>
      <c r="I39" s="21">
        <f t="shared" si="5"/>
        <v>24.579714933770802</v>
      </c>
      <c r="J39" s="21">
        <f t="shared" si="6"/>
        <v>3.7845750788353416</v>
      </c>
    </row>
    <row r="40" spans="1:10" x14ac:dyDescent="0.35">
      <c r="A40" s="6">
        <v>32</v>
      </c>
      <c r="B40" s="19" t="str">
        <f>'Data Mentah'!B37</f>
        <v>07/08/2023</v>
      </c>
      <c r="C40" s="19">
        <f>'Data Mentah'!G37</f>
        <v>131</v>
      </c>
      <c r="D40" s="20">
        <f t="shared" si="0"/>
        <v>132.55116939496065</v>
      </c>
      <c r="E40" s="20">
        <f t="shared" si="1"/>
        <v>-2.7729628989897144</v>
      </c>
      <c r="F40" s="20">
        <f t="shared" si="2"/>
        <v>132.72352154995627</v>
      </c>
      <c r="G40" s="20">
        <f t="shared" si="3"/>
        <v>-1.7235215499562742</v>
      </c>
      <c r="H40" s="20">
        <f t="shared" si="4"/>
        <v>1.7235215499562742</v>
      </c>
      <c r="I40" s="21">
        <f t="shared" si="5"/>
        <v>2.9705265331636777</v>
      </c>
      <c r="J40" s="21">
        <f t="shared" si="6"/>
        <v>1.315665305310133</v>
      </c>
    </row>
    <row r="41" spans="1:10" x14ac:dyDescent="0.35">
      <c r="A41" s="6">
        <v>33</v>
      </c>
      <c r="B41" s="19" t="str">
        <f>'Data Mentah'!B38</f>
        <v>14/08/2023</v>
      </c>
      <c r="C41" s="19">
        <f>'Data Mentah'!G38</f>
        <v>143</v>
      </c>
      <c r="D41" s="20">
        <f t="shared" ref="D41:D72" si="7">$E$4*C41+(1-$E$4)*(D40+E40)</f>
        <v>131.10038584637385</v>
      </c>
      <c r="E41" s="20">
        <f t="shared" ref="E41:E72" si="8">$H$4*(D41-D40)+(1-$H$4)*E40</f>
        <v>-2.508527028909131</v>
      </c>
      <c r="F41" s="20">
        <f t="shared" ref="F41:F72" si="9">D40+E40</f>
        <v>129.77820649597095</v>
      </c>
      <c r="G41" s="20">
        <f t="shared" ref="G41:G72" si="10">C41-F41</f>
        <v>13.221793504029051</v>
      </c>
      <c r="H41" s="20">
        <f t="shared" ref="H41:H72" si="11">ABS(G41)</f>
        <v>13.221793504029051</v>
      </c>
      <c r="I41" s="21">
        <f t="shared" ref="I41:I72" si="12">G41^2</f>
        <v>174.81582346318481</v>
      </c>
      <c r="J41" s="21">
        <f t="shared" ref="J41:J72" si="13">ABS(G41/C41)*100</f>
        <v>9.2460094433769591</v>
      </c>
    </row>
    <row r="42" spans="1:10" x14ac:dyDescent="0.35">
      <c r="A42" s="6">
        <v>34</v>
      </c>
      <c r="B42" s="19" t="str">
        <f>'Data Mentah'!B39</f>
        <v>21/08/2023</v>
      </c>
      <c r="C42" s="19">
        <f>'Data Mentah'!G39</f>
        <v>134</v>
      </c>
      <c r="D42" s="20">
        <f t="shared" si="7"/>
        <v>129.13267293571826</v>
      </c>
      <c r="E42" s="20">
        <f t="shared" si="8"/>
        <v>-2.4003642052584233</v>
      </c>
      <c r="F42" s="20">
        <f t="shared" si="9"/>
        <v>128.59185881746473</v>
      </c>
      <c r="G42" s="20">
        <f t="shared" si="10"/>
        <v>5.4081411825352745</v>
      </c>
      <c r="H42" s="20">
        <f t="shared" si="11"/>
        <v>5.4081411825352745</v>
      </c>
      <c r="I42" s="21">
        <f t="shared" si="12"/>
        <v>29.247991050234038</v>
      </c>
      <c r="J42" s="21">
        <f t="shared" si="13"/>
        <v>4.0359262556233393</v>
      </c>
    </row>
    <row r="43" spans="1:10" x14ac:dyDescent="0.35">
      <c r="A43" s="6">
        <v>35</v>
      </c>
      <c r="B43" s="19" t="str">
        <f>'Data Mentah'!B40</f>
        <v>28/08/2023</v>
      </c>
      <c r="C43" s="19">
        <f>'Data Mentah'!G40</f>
        <v>134</v>
      </c>
      <c r="D43" s="20">
        <f t="shared" si="7"/>
        <v>127.45907785741386</v>
      </c>
      <c r="E43" s="20">
        <f t="shared" si="8"/>
        <v>-2.2550103798676191</v>
      </c>
      <c r="F43" s="20">
        <f t="shared" si="9"/>
        <v>126.73230873045983</v>
      </c>
      <c r="G43" s="20">
        <f t="shared" si="10"/>
        <v>7.2676912695401654</v>
      </c>
      <c r="H43" s="20">
        <f t="shared" si="11"/>
        <v>7.2676912695401654</v>
      </c>
      <c r="I43" s="21">
        <f t="shared" si="12"/>
        <v>52.81933638935034</v>
      </c>
      <c r="J43" s="21">
        <f t="shared" si="13"/>
        <v>5.4236502011493766</v>
      </c>
    </row>
    <row r="44" spans="1:10" x14ac:dyDescent="0.35">
      <c r="A44" s="6">
        <v>36</v>
      </c>
      <c r="B44" s="19" t="str">
        <f>'Data Mentah'!B41</f>
        <v>04/09/2023</v>
      </c>
      <c r="C44" s="19">
        <f>'Data Mentah'!G41</f>
        <v>132</v>
      </c>
      <c r="D44" s="20">
        <f t="shared" si="7"/>
        <v>125.88366072979163</v>
      </c>
      <c r="E44" s="20">
        <f t="shared" si="8"/>
        <v>-2.1190917294185416</v>
      </c>
      <c r="F44" s="20">
        <f t="shared" si="9"/>
        <v>125.20406747754625</v>
      </c>
      <c r="G44" s="20">
        <f t="shared" si="10"/>
        <v>6.7959325224537537</v>
      </c>
      <c r="H44" s="20">
        <f t="shared" si="11"/>
        <v>6.7959325224537537</v>
      </c>
      <c r="I44" s="21">
        <f t="shared" si="12"/>
        <v>46.184698849744642</v>
      </c>
      <c r="J44" s="21">
        <f t="shared" si="13"/>
        <v>5.1484337291316313</v>
      </c>
    </row>
    <row r="45" spans="1:10" x14ac:dyDescent="0.35">
      <c r="A45" s="6">
        <v>37</v>
      </c>
      <c r="B45" s="19" t="str">
        <f>'Data Mentah'!B42</f>
        <v>11/09/2023</v>
      </c>
      <c r="C45" s="19">
        <f>'Data Mentah'!G42</f>
        <v>111</v>
      </c>
      <c r="D45" s="20">
        <f t="shared" si="7"/>
        <v>122.48811210033577</v>
      </c>
      <c r="E45" s="20">
        <f t="shared" si="8"/>
        <v>-2.3743831094260055</v>
      </c>
      <c r="F45" s="20">
        <f t="shared" si="9"/>
        <v>123.76456900037309</v>
      </c>
      <c r="G45" s="20">
        <f t="shared" si="10"/>
        <v>-12.764569000373086</v>
      </c>
      <c r="H45" s="20">
        <f t="shared" si="11"/>
        <v>12.764569000373086</v>
      </c>
      <c r="I45" s="21">
        <f t="shared" si="12"/>
        <v>162.93422176528557</v>
      </c>
      <c r="J45" s="21">
        <f t="shared" si="13"/>
        <v>11.499611712047827</v>
      </c>
    </row>
    <row r="46" spans="1:10" x14ac:dyDescent="0.35">
      <c r="A46" s="6">
        <v>38</v>
      </c>
      <c r="B46" s="19" t="str">
        <f>'Data Mentah'!B43</f>
        <v>18/09/2023</v>
      </c>
      <c r="C46" s="19">
        <f>'Data Mentah'!G43</f>
        <v>114</v>
      </c>
      <c r="D46" s="20">
        <f t="shared" si="7"/>
        <v>119.5023560918188</v>
      </c>
      <c r="E46" s="20">
        <f t="shared" si="8"/>
        <v>-2.496657689244199</v>
      </c>
      <c r="F46" s="20">
        <f t="shared" si="9"/>
        <v>120.11372899090976</v>
      </c>
      <c r="G46" s="20">
        <f t="shared" si="10"/>
        <v>-6.1137289909097632</v>
      </c>
      <c r="H46" s="20">
        <f t="shared" si="11"/>
        <v>6.1137289909097632</v>
      </c>
      <c r="I46" s="21">
        <f t="shared" si="12"/>
        <v>37.377682174290513</v>
      </c>
      <c r="J46" s="21">
        <f t="shared" si="13"/>
        <v>5.3629201674647051</v>
      </c>
    </row>
    <row r="47" spans="1:10" x14ac:dyDescent="0.35">
      <c r="A47" s="6">
        <v>39</v>
      </c>
      <c r="B47" s="19" t="str">
        <f>'Data Mentah'!B44</f>
        <v>25/09/2023</v>
      </c>
      <c r="C47" s="19">
        <f>'Data Mentah'!G44</f>
        <v>106</v>
      </c>
      <c r="D47" s="20">
        <f t="shared" si="7"/>
        <v>115.90512856231715</v>
      </c>
      <c r="E47" s="20">
        <f t="shared" si="8"/>
        <v>-2.7167716572956895</v>
      </c>
      <c r="F47" s="20">
        <f t="shared" si="9"/>
        <v>117.00569840257459</v>
      </c>
      <c r="G47" s="20">
        <f t="shared" si="10"/>
        <v>-11.005698402574595</v>
      </c>
      <c r="H47" s="20">
        <f t="shared" si="11"/>
        <v>11.005698402574595</v>
      </c>
      <c r="I47" s="21">
        <f t="shared" si="12"/>
        <v>121.12539732843298</v>
      </c>
      <c r="J47" s="21">
        <f t="shared" si="13"/>
        <v>10.382734342051505</v>
      </c>
    </row>
    <row r="48" spans="1:10" x14ac:dyDescent="0.35">
      <c r="A48" s="6">
        <v>40</v>
      </c>
      <c r="B48" s="19" t="str">
        <f>'Data Mentah'!B45</f>
        <v>02/10/2023</v>
      </c>
      <c r="C48" s="19">
        <f>'Data Mentah'!G45</f>
        <v>107</v>
      </c>
      <c r="D48" s="20">
        <f t="shared" si="7"/>
        <v>112.56952121451931</v>
      </c>
      <c r="E48" s="20">
        <f t="shared" si="8"/>
        <v>-2.8405387953961183</v>
      </c>
      <c r="F48" s="20">
        <f t="shared" si="9"/>
        <v>113.18835690502145</v>
      </c>
      <c r="G48" s="20">
        <f t="shared" si="10"/>
        <v>-6.1883569050214504</v>
      </c>
      <c r="H48" s="20">
        <f t="shared" si="11"/>
        <v>6.1883569050214504</v>
      </c>
      <c r="I48" s="21">
        <f t="shared" si="12"/>
        <v>38.295761183926665</v>
      </c>
      <c r="J48" s="21">
        <f t="shared" si="13"/>
        <v>5.7835111261882712</v>
      </c>
    </row>
    <row r="49" spans="1:10" x14ac:dyDescent="0.35">
      <c r="A49" s="6">
        <v>41</v>
      </c>
      <c r="B49" s="19" t="str">
        <f>'Data Mentah'!B46</f>
        <v>09/10/2023</v>
      </c>
      <c r="C49" s="19">
        <f>'Data Mentah'!G46</f>
        <v>118</v>
      </c>
      <c r="D49" s="20">
        <f t="shared" si="7"/>
        <v>110.55608417721088</v>
      </c>
      <c r="E49" s="20">
        <f t="shared" si="8"/>
        <v>-2.6751184437785822</v>
      </c>
      <c r="F49" s="20">
        <f t="shared" si="9"/>
        <v>109.7289824191232</v>
      </c>
      <c r="G49" s="20">
        <f t="shared" si="10"/>
        <v>8.2710175808768014</v>
      </c>
      <c r="H49" s="20">
        <f t="shared" si="11"/>
        <v>8.2710175808768014</v>
      </c>
      <c r="I49" s="21">
        <f t="shared" si="12"/>
        <v>68.409731823173132</v>
      </c>
      <c r="J49" s="21">
        <f t="shared" si="13"/>
        <v>7.0093369329464412</v>
      </c>
    </row>
    <row r="50" spans="1:10" x14ac:dyDescent="0.35">
      <c r="A50" s="6">
        <v>42</v>
      </c>
      <c r="B50" s="19" t="str">
        <f>'Data Mentah'!B47</f>
        <v>16/10/2023</v>
      </c>
      <c r="C50" s="19">
        <f>'Data Mentah'!G47</f>
        <v>124</v>
      </c>
      <c r="D50" s="20">
        <f t="shared" si="7"/>
        <v>109.49286916008907</v>
      </c>
      <c r="E50" s="20">
        <f t="shared" si="8"/>
        <v>-2.3527377584472271</v>
      </c>
      <c r="F50" s="20">
        <f t="shared" si="9"/>
        <v>107.88096573343229</v>
      </c>
      <c r="G50" s="20">
        <f t="shared" si="10"/>
        <v>16.119034266567709</v>
      </c>
      <c r="H50" s="20">
        <f t="shared" si="11"/>
        <v>16.119034266567709</v>
      </c>
      <c r="I50" s="21">
        <f t="shared" si="12"/>
        <v>259.823265686784</v>
      </c>
      <c r="J50" s="21">
        <f t="shared" si="13"/>
        <v>12.999221182715894</v>
      </c>
    </row>
    <row r="51" spans="1:10" x14ac:dyDescent="0.35">
      <c r="A51" s="6">
        <v>43</v>
      </c>
      <c r="B51" s="19" t="str">
        <f>'Data Mentah'!B48</f>
        <v>23/10/2023</v>
      </c>
      <c r="C51" s="19">
        <f>'Data Mentah'!G48</f>
        <v>132</v>
      </c>
      <c r="D51" s="20">
        <f t="shared" si="7"/>
        <v>109.62611826147766</v>
      </c>
      <c r="E51" s="20">
        <f t="shared" si="8"/>
        <v>-1.8555403864800646</v>
      </c>
      <c r="F51" s="20">
        <f t="shared" si="9"/>
        <v>107.14013140164184</v>
      </c>
      <c r="G51" s="20">
        <f t="shared" si="10"/>
        <v>24.859868598358162</v>
      </c>
      <c r="H51" s="20">
        <f t="shared" si="11"/>
        <v>24.859868598358162</v>
      </c>
      <c r="I51" s="21">
        <f t="shared" si="12"/>
        <v>618.01306672763417</v>
      </c>
      <c r="J51" s="21">
        <f t="shared" si="13"/>
        <v>18.83323378663497</v>
      </c>
    </row>
    <row r="52" spans="1:10" x14ac:dyDescent="0.35">
      <c r="A52" s="6">
        <v>44</v>
      </c>
      <c r="B52" s="19" t="str">
        <f>'Data Mentah'!B49</f>
        <v>30/10/2023</v>
      </c>
      <c r="C52" s="19">
        <f>'Data Mentah'!G49</f>
        <v>126</v>
      </c>
      <c r="D52" s="20">
        <f t="shared" si="7"/>
        <v>109.59352008749784</v>
      </c>
      <c r="E52" s="20">
        <f t="shared" si="8"/>
        <v>-1.4909519439800158</v>
      </c>
      <c r="F52" s="20">
        <f t="shared" si="9"/>
        <v>107.7705778749976</v>
      </c>
      <c r="G52" s="20">
        <f t="shared" si="10"/>
        <v>18.229422125002401</v>
      </c>
      <c r="H52" s="20">
        <f t="shared" si="11"/>
        <v>18.229422125002401</v>
      </c>
      <c r="I52" s="21">
        <f t="shared" si="12"/>
        <v>332.31183101152703</v>
      </c>
      <c r="J52" s="21">
        <f t="shared" si="13"/>
        <v>14.467795337303494</v>
      </c>
    </row>
    <row r="53" spans="1:10" x14ac:dyDescent="0.35">
      <c r="A53" s="6">
        <v>45</v>
      </c>
      <c r="B53" s="19" t="str">
        <f>'Data Mentah'!B50</f>
        <v>06/11/2023</v>
      </c>
      <c r="C53" s="19">
        <f>'Data Mentah'!G50</f>
        <v>126</v>
      </c>
      <c r="D53" s="20">
        <f t="shared" si="7"/>
        <v>109.89231132916603</v>
      </c>
      <c r="E53" s="20">
        <f t="shared" si="8"/>
        <v>-1.1330033068503731</v>
      </c>
      <c r="F53" s="20">
        <f t="shared" si="9"/>
        <v>108.10256814351781</v>
      </c>
      <c r="G53" s="20">
        <f t="shared" si="10"/>
        <v>17.897431856482186</v>
      </c>
      <c r="H53" s="20">
        <f t="shared" si="11"/>
        <v>17.897431856482186</v>
      </c>
      <c r="I53" s="21">
        <f t="shared" si="12"/>
        <v>320.31806705742338</v>
      </c>
      <c r="J53" s="21">
        <f t="shared" si="13"/>
        <v>14.204310997208083</v>
      </c>
    </row>
    <row r="54" spans="1:10" x14ac:dyDescent="0.35">
      <c r="A54" s="6">
        <v>46</v>
      </c>
      <c r="B54" s="19" t="str">
        <f>'Data Mentah'!B51</f>
        <v>13/11/2023</v>
      </c>
      <c r="C54" s="19">
        <f>'Data Mentah'!G51</f>
        <v>122</v>
      </c>
      <c r="D54" s="20">
        <f t="shared" si="7"/>
        <v>110.0833772200841</v>
      </c>
      <c r="E54" s="20">
        <f t="shared" si="8"/>
        <v>-0.86818946729668478</v>
      </c>
      <c r="F54" s="20">
        <f t="shared" si="9"/>
        <v>108.75930802231566</v>
      </c>
      <c r="G54" s="20">
        <f t="shared" si="10"/>
        <v>13.240691977684335</v>
      </c>
      <c r="H54" s="20">
        <f t="shared" si="11"/>
        <v>13.240691977684335</v>
      </c>
      <c r="I54" s="21">
        <f t="shared" si="12"/>
        <v>175.31592404791431</v>
      </c>
      <c r="J54" s="21">
        <f t="shared" si="13"/>
        <v>10.853026211216669</v>
      </c>
    </row>
    <row r="55" spans="1:10" x14ac:dyDescent="0.35">
      <c r="A55" s="6">
        <v>47</v>
      </c>
      <c r="B55" s="19" t="str">
        <f>'Data Mentah'!B52</f>
        <v>20/11/2023</v>
      </c>
      <c r="C55" s="19">
        <f>'Data Mentah'!G52</f>
        <v>118</v>
      </c>
      <c r="D55" s="20">
        <f t="shared" si="7"/>
        <v>110.09366897750867</v>
      </c>
      <c r="E55" s="20">
        <f t="shared" si="8"/>
        <v>-0.69249322235243427</v>
      </c>
      <c r="F55" s="20">
        <f t="shared" si="9"/>
        <v>109.21518775278741</v>
      </c>
      <c r="G55" s="20">
        <f t="shared" si="10"/>
        <v>8.7848122472125851</v>
      </c>
      <c r="H55" s="20">
        <f t="shared" si="11"/>
        <v>8.7848122472125851</v>
      </c>
      <c r="I55" s="21">
        <f t="shared" si="12"/>
        <v>77.172926218776226</v>
      </c>
      <c r="J55" s="21">
        <f t="shared" si="13"/>
        <v>7.4447561417055805</v>
      </c>
    </row>
    <row r="56" spans="1:10" x14ac:dyDescent="0.35">
      <c r="A56" s="6">
        <v>48</v>
      </c>
      <c r="B56" s="19" t="str">
        <f>'Data Mentah'!B53</f>
        <v>27/11/2023</v>
      </c>
      <c r="C56" s="19">
        <f>'Data Mentah'!G53</f>
        <v>124</v>
      </c>
      <c r="D56" s="20">
        <f t="shared" si="7"/>
        <v>110.86105817964062</v>
      </c>
      <c r="E56" s="20">
        <f t="shared" si="8"/>
        <v>-0.40051673745555705</v>
      </c>
      <c r="F56" s="20">
        <f t="shared" si="9"/>
        <v>109.40117575515623</v>
      </c>
      <c r="G56" s="20">
        <f t="shared" si="10"/>
        <v>14.598824244843769</v>
      </c>
      <c r="H56" s="20">
        <f t="shared" si="11"/>
        <v>14.598824244843769</v>
      </c>
      <c r="I56" s="21">
        <f t="shared" si="12"/>
        <v>213.12566933183822</v>
      </c>
      <c r="J56" s="21">
        <f t="shared" si="13"/>
        <v>11.773245358744974</v>
      </c>
    </row>
    <row r="57" spans="1:10" x14ac:dyDescent="0.35">
      <c r="A57" s="6">
        <v>49</v>
      </c>
      <c r="B57" s="19" t="str">
        <f>'Data Mentah'!B54</f>
        <v>04/12/2023</v>
      </c>
      <c r="C57" s="19">
        <f>'Data Mentah'!G54</f>
        <v>124</v>
      </c>
      <c r="D57" s="20">
        <f t="shared" si="7"/>
        <v>111.81448729796656</v>
      </c>
      <c r="E57" s="20">
        <f t="shared" si="8"/>
        <v>-0.12972756629925714</v>
      </c>
      <c r="F57" s="20">
        <f t="shared" si="9"/>
        <v>110.46054144218506</v>
      </c>
      <c r="G57" s="20">
        <f t="shared" si="10"/>
        <v>13.539458557814939</v>
      </c>
      <c r="H57" s="20">
        <f t="shared" si="11"/>
        <v>13.539458557814939</v>
      </c>
      <c r="I57" s="21">
        <f t="shared" si="12"/>
        <v>183.31693803878818</v>
      </c>
      <c r="J57" s="21">
        <f t="shared" si="13"/>
        <v>10.91891819178624</v>
      </c>
    </row>
    <row r="58" spans="1:10" x14ac:dyDescent="0.35">
      <c r="A58" s="6">
        <v>50</v>
      </c>
      <c r="B58" s="19" t="str">
        <f>'Data Mentah'!B55</f>
        <v>11/12/2023</v>
      </c>
      <c r="C58" s="19">
        <f>'Data Mentah'!G55</f>
        <v>111</v>
      </c>
      <c r="D58" s="20">
        <f t="shared" si="7"/>
        <v>111.61628375850057</v>
      </c>
      <c r="E58" s="20">
        <f t="shared" si="8"/>
        <v>-0.14342276093260434</v>
      </c>
      <c r="F58" s="20">
        <f t="shared" si="9"/>
        <v>111.68475973166731</v>
      </c>
      <c r="G58" s="20">
        <f t="shared" si="10"/>
        <v>-0.68475973166731308</v>
      </c>
      <c r="H58" s="20">
        <f t="shared" si="11"/>
        <v>0.68475973166731308</v>
      </c>
      <c r="I58" s="21">
        <f t="shared" si="12"/>
        <v>0.46889589011309063</v>
      </c>
      <c r="J58" s="21">
        <f t="shared" si="13"/>
        <v>0.61690065915974157</v>
      </c>
    </row>
    <row r="59" spans="1:10" x14ac:dyDescent="0.35">
      <c r="A59" s="6">
        <v>51</v>
      </c>
      <c r="B59" s="19" t="str">
        <f>'Data Mentah'!B56</f>
        <v>18/12/2023</v>
      </c>
      <c r="C59" s="19">
        <f>'Data Mentah'!G56</f>
        <v>106</v>
      </c>
      <c r="D59" s="20">
        <f t="shared" si="7"/>
        <v>110.92557489781117</v>
      </c>
      <c r="E59" s="20">
        <f t="shared" si="8"/>
        <v>-0.25287998088396302</v>
      </c>
      <c r="F59" s="20">
        <f t="shared" si="9"/>
        <v>111.47286099756796</v>
      </c>
      <c r="G59" s="20">
        <f t="shared" si="10"/>
        <v>-5.4728609975679632</v>
      </c>
      <c r="H59" s="20">
        <f t="shared" si="11"/>
        <v>5.4728609975679632</v>
      </c>
      <c r="I59" s="21">
        <f t="shared" si="12"/>
        <v>29.952207498700602</v>
      </c>
      <c r="J59" s="21">
        <f t="shared" si="13"/>
        <v>5.1630764127999651</v>
      </c>
    </row>
    <row r="60" spans="1:10" x14ac:dyDescent="0.35">
      <c r="A60" s="6">
        <v>52</v>
      </c>
      <c r="B60" s="19" t="str">
        <f>'Data Mentah'!B57</f>
        <v>25/12/2023</v>
      </c>
      <c r="C60" s="19">
        <f>'Data Mentah'!G57</f>
        <v>95</v>
      </c>
      <c r="D60" s="20">
        <f t="shared" si="7"/>
        <v>109.1054254252345</v>
      </c>
      <c r="E60" s="20">
        <f t="shared" si="8"/>
        <v>-0.56633387922250522</v>
      </c>
      <c r="F60" s="20">
        <f t="shared" si="9"/>
        <v>110.67269491692721</v>
      </c>
      <c r="G60" s="20">
        <f t="shared" si="10"/>
        <v>-15.672694916927213</v>
      </c>
      <c r="H60" s="20">
        <f t="shared" si="11"/>
        <v>15.672694916927213</v>
      </c>
      <c r="I60" s="21">
        <f t="shared" si="12"/>
        <v>245.63336595907612</v>
      </c>
      <c r="J60" s="21">
        <f t="shared" si="13"/>
        <v>16.497573596765488</v>
      </c>
    </row>
    <row r="61" spans="1:10" x14ac:dyDescent="0.35">
      <c r="A61" s="6">
        <v>53</v>
      </c>
      <c r="B61" s="19" t="str">
        <f>'Data Mentah'!B58</f>
        <v>01/01/2024</v>
      </c>
      <c r="C61" s="19">
        <f>'Data Mentah'!G58</f>
        <v>98</v>
      </c>
      <c r="D61" s="20">
        <f t="shared" si="7"/>
        <v>107.48518239141079</v>
      </c>
      <c r="E61" s="20">
        <f t="shared" si="8"/>
        <v>-0.77711571014274661</v>
      </c>
      <c r="F61" s="20">
        <f t="shared" si="9"/>
        <v>108.53909154601199</v>
      </c>
      <c r="G61" s="20">
        <f t="shared" si="10"/>
        <v>-10.539091546011988</v>
      </c>
      <c r="H61" s="20">
        <f t="shared" si="11"/>
        <v>10.539091546011988</v>
      </c>
      <c r="I61" s="21">
        <f t="shared" si="12"/>
        <v>111.07245061522137</v>
      </c>
      <c r="J61" s="21">
        <f t="shared" si="13"/>
        <v>10.754175046951008</v>
      </c>
    </row>
    <row r="62" spans="1:10" x14ac:dyDescent="0.35">
      <c r="A62" s="6">
        <v>54</v>
      </c>
      <c r="B62" s="19" t="str">
        <f>'Data Mentah'!B59</f>
        <v>08/01/2024</v>
      </c>
      <c r="C62" s="19">
        <f>'Data Mentah'!G59</f>
        <v>113</v>
      </c>
      <c r="D62" s="20">
        <f t="shared" si="7"/>
        <v>107.33726001314123</v>
      </c>
      <c r="E62" s="20">
        <f t="shared" si="8"/>
        <v>-0.65127704376810847</v>
      </c>
      <c r="F62" s="20">
        <f t="shared" si="9"/>
        <v>106.70806668126804</v>
      </c>
      <c r="G62" s="20">
        <f t="shared" si="10"/>
        <v>6.2919333187319637</v>
      </c>
      <c r="H62" s="20">
        <f t="shared" si="11"/>
        <v>6.2919333187319637</v>
      </c>
      <c r="I62" s="21">
        <f t="shared" si="12"/>
        <v>39.58842488736942</v>
      </c>
      <c r="J62" s="21">
        <f t="shared" si="13"/>
        <v>5.5680825829486409</v>
      </c>
    </row>
    <row r="63" spans="1:10" x14ac:dyDescent="0.35">
      <c r="A63" s="6">
        <v>55</v>
      </c>
      <c r="B63" s="19" t="str">
        <f>'Data Mentah'!B60</f>
        <v>15/01/2024</v>
      </c>
      <c r="C63" s="19">
        <f>'Data Mentah'!G60</f>
        <v>116</v>
      </c>
      <c r="D63" s="20">
        <f t="shared" si="7"/>
        <v>107.61738467243583</v>
      </c>
      <c r="E63" s="20">
        <f t="shared" si="8"/>
        <v>-0.46499670315556685</v>
      </c>
      <c r="F63" s="20">
        <f t="shared" si="9"/>
        <v>106.68598296937313</v>
      </c>
      <c r="G63" s="20">
        <f t="shared" si="10"/>
        <v>9.3140170306268715</v>
      </c>
      <c r="H63" s="20">
        <f t="shared" si="11"/>
        <v>9.3140170306268715</v>
      </c>
      <c r="I63" s="21">
        <f t="shared" si="12"/>
        <v>86.7509132468074</v>
      </c>
      <c r="J63" s="21">
        <f t="shared" si="13"/>
        <v>8.0293250264024749</v>
      </c>
    </row>
    <row r="64" spans="1:10" x14ac:dyDescent="0.35">
      <c r="A64" s="6">
        <v>56</v>
      </c>
      <c r="B64" s="19" t="str">
        <f>'Data Mentah'!B61</f>
        <v>22/01/2024</v>
      </c>
      <c r="C64" s="19">
        <f>'Data Mentah'!G61</f>
        <v>117</v>
      </c>
      <c r="D64" s="20">
        <f t="shared" si="7"/>
        <v>108.13714917235225</v>
      </c>
      <c r="E64" s="20">
        <f t="shared" si="8"/>
        <v>-0.26804446254116954</v>
      </c>
      <c r="F64" s="20">
        <f t="shared" si="9"/>
        <v>107.15238796928027</v>
      </c>
      <c r="G64" s="20">
        <f t="shared" si="10"/>
        <v>9.8476120307197306</v>
      </c>
      <c r="H64" s="20">
        <f t="shared" si="11"/>
        <v>9.8476120307197306</v>
      </c>
      <c r="I64" s="21">
        <f t="shared" si="12"/>
        <v>96.975462707575971</v>
      </c>
      <c r="J64" s="21">
        <f t="shared" si="13"/>
        <v>8.4167624194185731</v>
      </c>
    </row>
    <row r="65" spans="1:10" x14ac:dyDescent="0.35">
      <c r="A65" s="6">
        <v>57</v>
      </c>
      <c r="B65" s="19" t="str">
        <f>'Data Mentah'!B62</f>
        <v>29/01/2024</v>
      </c>
      <c r="C65" s="19">
        <f>'Data Mentah'!G62</f>
        <v>112</v>
      </c>
      <c r="D65" s="20">
        <f t="shared" si="7"/>
        <v>108.28219423882997</v>
      </c>
      <c r="E65" s="20">
        <f t="shared" si="8"/>
        <v>-0.1854265567373915</v>
      </c>
      <c r="F65" s="20">
        <f t="shared" si="9"/>
        <v>107.86910470981108</v>
      </c>
      <c r="G65" s="20">
        <f t="shared" si="10"/>
        <v>4.1308952901889171</v>
      </c>
      <c r="H65" s="20">
        <f t="shared" si="11"/>
        <v>4.1308952901889171</v>
      </c>
      <c r="I65" s="21">
        <f t="shared" si="12"/>
        <v>17.064295898504977</v>
      </c>
      <c r="J65" s="21">
        <f t="shared" si="13"/>
        <v>3.6882993662401047</v>
      </c>
    </row>
    <row r="66" spans="1:10" x14ac:dyDescent="0.35">
      <c r="A66" s="6">
        <v>58</v>
      </c>
      <c r="B66" s="19" t="str">
        <f>'Data Mentah'!B63</f>
        <v>05/02/2024</v>
      </c>
      <c r="C66" s="19">
        <f>'Data Mentah'!G63</f>
        <v>105</v>
      </c>
      <c r="D66" s="20">
        <f t="shared" si="7"/>
        <v>107.78709091388332</v>
      </c>
      <c r="E66" s="20">
        <f t="shared" si="8"/>
        <v>-0.24736191037924415</v>
      </c>
      <c r="F66" s="20">
        <f t="shared" si="9"/>
        <v>108.09676768209258</v>
      </c>
      <c r="G66" s="20">
        <f t="shared" si="10"/>
        <v>-3.096767682092576</v>
      </c>
      <c r="H66" s="20">
        <f t="shared" si="11"/>
        <v>3.096767682092576</v>
      </c>
      <c r="I66" s="21">
        <f t="shared" si="12"/>
        <v>9.5899700768530263</v>
      </c>
      <c r="J66" s="21">
        <f t="shared" si="13"/>
        <v>2.9493025543738822</v>
      </c>
    </row>
    <row r="67" spans="1:10" x14ac:dyDescent="0.35">
      <c r="A67" s="6">
        <v>59</v>
      </c>
      <c r="B67" s="19" t="str">
        <f>'Data Mentah'!B64</f>
        <v>12/02/2024</v>
      </c>
      <c r="C67" s="19">
        <f>'Data Mentah'!G64</f>
        <v>108</v>
      </c>
      <c r="D67" s="20">
        <f t="shared" si="7"/>
        <v>107.58575610315367</v>
      </c>
      <c r="E67" s="20">
        <f t="shared" si="8"/>
        <v>-0.23815649044932494</v>
      </c>
      <c r="F67" s="20">
        <f t="shared" si="9"/>
        <v>107.53972900350408</v>
      </c>
      <c r="G67" s="20">
        <f t="shared" si="10"/>
        <v>0.46027099649592174</v>
      </c>
      <c r="H67" s="20">
        <f t="shared" si="11"/>
        <v>0.46027099649592174</v>
      </c>
      <c r="I67" s="21">
        <f t="shared" si="12"/>
        <v>0.21184939021534879</v>
      </c>
      <c r="J67" s="21">
        <f t="shared" si="13"/>
        <v>0.4261768486073349</v>
      </c>
    </row>
    <row r="68" spans="1:10" x14ac:dyDescent="0.35">
      <c r="A68" s="6">
        <v>60</v>
      </c>
      <c r="B68" s="19" t="str">
        <f>'Data Mentah'!B65</f>
        <v>19/02/2024</v>
      </c>
      <c r="C68" s="19">
        <f>'Data Mentah'!G65</f>
        <v>120</v>
      </c>
      <c r="D68" s="20">
        <f t="shared" si="7"/>
        <v>108.61283965143392</v>
      </c>
      <c r="E68" s="20">
        <f t="shared" si="8"/>
        <v>1.4891517296589107E-2</v>
      </c>
      <c r="F68" s="20">
        <f t="shared" si="9"/>
        <v>107.34759961270434</v>
      </c>
      <c r="G68" s="20">
        <f t="shared" si="10"/>
        <v>12.652400387295657</v>
      </c>
      <c r="H68" s="20">
        <f t="shared" si="11"/>
        <v>12.652400387295657</v>
      </c>
      <c r="I68" s="21">
        <f t="shared" si="12"/>
        <v>160.08323556043928</v>
      </c>
      <c r="J68" s="21">
        <f t="shared" si="13"/>
        <v>10.543666989413047</v>
      </c>
    </row>
    <row r="69" spans="1:10" x14ac:dyDescent="0.35">
      <c r="A69" s="6">
        <v>61</v>
      </c>
      <c r="B69" s="19" t="str">
        <f>'Data Mentah'!B66</f>
        <v>26/02/2024</v>
      </c>
      <c r="C69" s="19">
        <f>'Data Mentah'!G66</f>
        <v>124</v>
      </c>
      <c r="D69" s="20">
        <f t="shared" si="7"/>
        <v>110.16495805185747</v>
      </c>
      <c r="E69" s="20">
        <f t="shared" si="8"/>
        <v>0.32233689392198173</v>
      </c>
      <c r="F69" s="20">
        <f t="shared" si="9"/>
        <v>108.62773116873051</v>
      </c>
      <c r="G69" s="20">
        <f t="shared" si="10"/>
        <v>15.372268831269494</v>
      </c>
      <c r="H69" s="20">
        <f t="shared" si="11"/>
        <v>15.372268831269494</v>
      </c>
      <c r="I69" s="21">
        <f t="shared" si="12"/>
        <v>236.30664902081958</v>
      </c>
      <c r="J69" s="21">
        <f t="shared" si="13"/>
        <v>12.396990992959269</v>
      </c>
    </row>
    <row r="70" spans="1:10" x14ac:dyDescent="0.35">
      <c r="A70" s="6">
        <v>62</v>
      </c>
      <c r="B70" s="19" t="str">
        <f>'Data Mentah'!B67</f>
        <v>04/03/2024</v>
      </c>
      <c r="C70" s="19">
        <f>'Data Mentah'!G67</f>
        <v>129</v>
      </c>
      <c r="D70" s="20">
        <f t="shared" si="7"/>
        <v>112.33856545120152</v>
      </c>
      <c r="E70" s="20">
        <f t="shared" si="8"/>
        <v>0.69259099500639532</v>
      </c>
      <c r="F70" s="20">
        <f t="shared" si="9"/>
        <v>110.48729494577945</v>
      </c>
      <c r="G70" s="20">
        <f t="shared" si="10"/>
        <v>18.512705054220547</v>
      </c>
      <c r="H70" s="20">
        <f t="shared" si="11"/>
        <v>18.512705054220547</v>
      </c>
      <c r="I70" s="21">
        <f t="shared" si="12"/>
        <v>342.72024842456295</v>
      </c>
      <c r="J70" s="21">
        <f t="shared" si="13"/>
        <v>14.350934150558563</v>
      </c>
    </row>
    <row r="71" spans="1:10" x14ac:dyDescent="0.35">
      <c r="A71" s="6">
        <v>63</v>
      </c>
      <c r="B71" s="19" t="str">
        <f>'Data Mentah'!B68</f>
        <v>11/03/2024</v>
      </c>
      <c r="C71" s="19">
        <f>'Data Mentah'!G68</f>
        <v>120</v>
      </c>
      <c r="D71" s="20">
        <f t="shared" si="7"/>
        <v>113.72804080158713</v>
      </c>
      <c r="E71" s="20">
        <f t="shared" si="8"/>
        <v>0.83196786608223816</v>
      </c>
      <c r="F71" s="20">
        <f t="shared" si="9"/>
        <v>113.03115644620792</v>
      </c>
      <c r="G71" s="20">
        <f t="shared" si="10"/>
        <v>6.9688435537920839</v>
      </c>
      <c r="H71" s="20">
        <f t="shared" si="11"/>
        <v>6.9688435537920839</v>
      </c>
      <c r="I71" s="21">
        <f t="shared" si="12"/>
        <v>48.564780477229483</v>
      </c>
      <c r="J71" s="21">
        <f t="shared" si="13"/>
        <v>5.8073696281600702</v>
      </c>
    </row>
    <row r="72" spans="1:10" x14ac:dyDescent="0.35">
      <c r="A72" s="6">
        <v>64</v>
      </c>
      <c r="B72" s="19" t="str">
        <f>'Data Mentah'!B69</f>
        <v>18/03/2024</v>
      </c>
      <c r="C72" s="19">
        <f>'Data Mentah'!G69</f>
        <v>112</v>
      </c>
      <c r="D72" s="20">
        <f t="shared" si="7"/>
        <v>114.30400780090244</v>
      </c>
      <c r="E72" s="20">
        <f t="shared" si="8"/>
        <v>0.78076769272885316</v>
      </c>
      <c r="F72" s="20">
        <f t="shared" si="9"/>
        <v>114.56000866766936</v>
      </c>
      <c r="G72" s="20">
        <f t="shared" si="10"/>
        <v>-2.560008667669365</v>
      </c>
      <c r="H72" s="20">
        <f t="shared" si="11"/>
        <v>2.560008667669365</v>
      </c>
      <c r="I72" s="21">
        <f t="shared" si="12"/>
        <v>6.5536443785422769</v>
      </c>
      <c r="J72" s="21">
        <f t="shared" si="13"/>
        <v>2.28572202470479</v>
      </c>
    </row>
    <row r="73" spans="1:10" x14ac:dyDescent="0.35">
      <c r="A73" s="6">
        <v>65</v>
      </c>
      <c r="B73" s="19" t="str">
        <f>'Data Mentah'!B70</f>
        <v>25/03/2024</v>
      </c>
      <c r="C73" s="19">
        <f>'Data Mentah'!G70</f>
        <v>107</v>
      </c>
      <c r="D73" s="20">
        <f t="shared" ref="D73:D104" si="14">$E$4*C73+(1-$E$4)*(D72+E72)</f>
        <v>114.27629794426818</v>
      </c>
      <c r="E73" s="20">
        <f t="shared" ref="E73:E104" si="15">$H$4*(D73-D72)+(1-$H$4)*E72</f>
        <v>0.61907218285623045</v>
      </c>
      <c r="F73" s="20">
        <f t="shared" ref="F73:F104" si="16">D72+E72</f>
        <v>115.0847754936313</v>
      </c>
      <c r="G73" s="20">
        <f t="shared" ref="G73:G104" si="17">C73-F73</f>
        <v>-8.0847754936312981</v>
      </c>
      <c r="H73" s="20">
        <f t="shared" ref="H73:H104" si="18">ABS(G73)</f>
        <v>8.0847754936312981</v>
      </c>
      <c r="I73" s="21">
        <f t="shared" ref="I73:I104" si="19">G73^2</f>
        <v>65.363594782421202</v>
      </c>
      <c r="J73" s="21">
        <f t="shared" ref="J73:J104" si="20">ABS(G73/C73)*100</f>
        <v>7.5558649473189705</v>
      </c>
    </row>
    <row r="74" spans="1:10" x14ac:dyDescent="0.35">
      <c r="A74" s="6">
        <v>66</v>
      </c>
      <c r="B74" s="19" t="str">
        <f>'Data Mentah'!B71</f>
        <v>01/04/2024</v>
      </c>
      <c r="C74" s="19">
        <f>'Data Mentah'!G71</f>
        <v>108</v>
      </c>
      <c r="D74" s="20">
        <f t="shared" si="14"/>
        <v>114.20583311441197</v>
      </c>
      <c r="E74" s="20">
        <f t="shared" si="15"/>
        <v>0.4811647803137431</v>
      </c>
      <c r="F74" s="20">
        <f t="shared" si="16"/>
        <v>114.89537012712441</v>
      </c>
      <c r="G74" s="20">
        <f t="shared" si="17"/>
        <v>-6.8953701271244086</v>
      </c>
      <c r="H74" s="20">
        <f t="shared" si="18"/>
        <v>6.8953701271244086</v>
      </c>
      <c r="I74" s="21">
        <f t="shared" si="19"/>
        <v>47.546129190039679</v>
      </c>
      <c r="J74" s="21">
        <f t="shared" si="20"/>
        <v>6.3846019695596379</v>
      </c>
    </row>
    <row r="75" spans="1:10" x14ac:dyDescent="0.35">
      <c r="A75" s="6">
        <v>67</v>
      </c>
      <c r="B75" s="19" t="str">
        <f>'Data Mentah'!B72</f>
        <v>08/04/2024</v>
      </c>
      <c r="C75" s="19">
        <f>'Data Mentah'!G72</f>
        <v>120</v>
      </c>
      <c r="D75" s="20">
        <f t="shared" si="14"/>
        <v>115.21829810525315</v>
      </c>
      <c r="E75" s="20">
        <f t="shared" si="15"/>
        <v>0.58742482241923066</v>
      </c>
      <c r="F75" s="20">
        <f t="shared" si="16"/>
        <v>114.68699789472572</v>
      </c>
      <c r="G75" s="20">
        <f t="shared" si="17"/>
        <v>5.3130021052742791</v>
      </c>
      <c r="H75" s="20">
        <f t="shared" si="18"/>
        <v>5.3130021052742791</v>
      </c>
      <c r="I75" s="21">
        <f t="shared" si="19"/>
        <v>28.227991370648922</v>
      </c>
      <c r="J75" s="21">
        <f t="shared" si="20"/>
        <v>4.4275017543952329</v>
      </c>
    </row>
    <row r="76" spans="1:10" x14ac:dyDescent="0.35">
      <c r="A76" s="6">
        <v>68</v>
      </c>
      <c r="B76" s="19" t="str">
        <f>'Data Mentah'!B73</f>
        <v>15/04/2024</v>
      </c>
      <c r="C76" s="19">
        <f>'Data Mentah'!G73</f>
        <v>123</v>
      </c>
      <c r="D76" s="20">
        <f t="shared" si="14"/>
        <v>116.52515063490515</v>
      </c>
      <c r="E76" s="20">
        <f t="shared" si="15"/>
        <v>0.73131036386578274</v>
      </c>
      <c r="F76" s="20">
        <f t="shared" si="16"/>
        <v>115.80572292767239</v>
      </c>
      <c r="G76" s="20">
        <f t="shared" si="17"/>
        <v>7.1942770723276084</v>
      </c>
      <c r="H76" s="20">
        <f t="shared" si="18"/>
        <v>7.1942770723276084</v>
      </c>
      <c r="I76" s="21">
        <f t="shared" si="19"/>
        <v>51.757622593418702</v>
      </c>
      <c r="J76" s="21">
        <f t="shared" si="20"/>
        <v>5.8490057498598444</v>
      </c>
    </row>
    <row r="77" spans="1:10" x14ac:dyDescent="0.35">
      <c r="A77" s="6">
        <v>69</v>
      </c>
      <c r="B77" s="19" t="str">
        <f>'Data Mentah'!B74</f>
        <v>22/04/2024</v>
      </c>
      <c r="C77" s="19">
        <f>'Data Mentah'!G74</f>
        <v>124</v>
      </c>
      <c r="D77" s="20">
        <f t="shared" si="14"/>
        <v>117.93081489889384</v>
      </c>
      <c r="E77" s="20">
        <f t="shared" si="15"/>
        <v>0.86618114389036571</v>
      </c>
      <c r="F77" s="20">
        <f t="shared" si="16"/>
        <v>117.25646099877093</v>
      </c>
      <c r="G77" s="20">
        <f t="shared" si="17"/>
        <v>6.7435390012290668</v>
      </c>
      <c r="H77" s="20">
        <f t="shared" si="18"/>
        <v>6.7435390012290668</v>
      </c>
      <c r="I77" s="21">
        <f t="shared" si="19"/>
        <v>45.47531826109752</v>
      </c>
      <c r="J77" s="21">
        <f t="shared" si="20"/>
        <v>5.4383379042169899</v>
      </c>
    </row>
    <row r="78" spans="1:10" x14ac:dyDescent="0.35">
      <c r="A78" s="6">
        <v>70</v>
      </c>
      <c r="B78" s="19" t="str">
        <f>'Data Mentah'!B75</f>
        <v>29/04/2024</v>
      </c>
      <c r="C78" s="19">
        <f>'Data Mentah'!G75</f>
        <v>116</v>
      </c>
      <c r="D78" s="20">
        <f t="shared" si="14"/>
        <v>118.51729643850581</v>
      </c>
      <c r="E78" s="20">
        <f t="shared" si="15"/>
        <v>0.81024122303468593</v>
      </c>
      <c r="F78" s="20">
        <f t="shared" si="16"/>
        <v>118.79699604278422</v>
      </c>
      <c r="G78" s="20">
        <f t="shared" si="17"/>
        <v>-2.7969960427842153</v>
      </c>
      <c r="H78" s="20">
        <f t="shared" si="18"/>
        <v>2.7969960427842153</v>
      </c>
      <c r="I78" s="21">
        <f t="shared" si="19"/>
        <v>7.8231868633505597</v>
      </c>
      <c r="J78" s="21">
        <f t="shared" si="20"/>
        <v>2.411203485158806</v>
      </c>
    </row>
    <row r="79" spans="1:10" x14ac:dyDescent="0.35">
      <c r="A79" s="6">
        <v>71</v>
      </c>
      <c r="B79" s="19" t="str">
        <f>'Data Mentah'!B76</f>
        <v>06/05/2024</v>
      </c>
      <c r="C79" s="19">
        <f>'Data Mentah'!G76</f>
        <v>120</v>
      </c>
      <c r="D79" s="20">
        <f t="shared" si="14"/>
        <v>119.39478389538644</v>
      </c>
      <c r="E79" s="20">
        <f t="shared" si="15"/>
        <v>0.82369046980387473</v>
      </c>
      <c r="F79" s="20">
        <f t="shared" si="16"/>
        <v>119.32753766154049</v>
      </c>
      <c r="G79" s="20">
        <f t="shared" si="17"/>
        <v>0.67246233845951053</v>
      </c>
      <c r="H79" s="20">
        <f t="shared" si="18"/>
        <v>0.67246233845951053</v>
      </c>
      <c r="I79" s="21">
        <f t="shared" si="19"/>
        <v>0.45220559664643328</v>
      </c>
      <c r="J79" s="21">
        <f t="shared" si="20"/>
        <v>0.56038528204959215</v>
      </c>
    </row>
    <row r="80" spans="1:10" x14ac:dyDescent="0.35">
      <c r="A80" s="6">
        <v>72</v>
      </c>
      <c r="B80" s="19" t="str">
        <f>'Data Mentah'!B77</f>
        <v>13/05/2024</v>
      </c>
      <c r="C80" s="19">
        <f>'Data Mentah'!G77</f>
        <v>130</v>
      </c>
      <c r="D80" s="20">
        <f t="shared" si="14"/>
        <v>121.19662692867129</v>
      </c>
      <c r="E80" s="20">
        <f t="shared" si="15"/>
        <v>1.0193209825000706</v>
      </c>
      <c r="F80" s="20">
        <f t="shared" si="16"/>
        <v>120.21847436519032</v>
      </c>
      <c r="G80" s="20">
        <f t="shared" si="17"/>
        <v>9.7815256348096824</v>
      </c>
      <c r="H80" s="20">
        <f t="shared" si="18"/>
        <v>9.7815256348096824</v>
      </c>
      <c r="I80" s="21">
        <f t="shared" si="19"/>
        <v>95.678243744438959</v>
      </c>
      <c r="J80" s="21">
        <f t="shared" si="20"/>
        <v>7.5242504883151398</v>
      </c>
    </row>
    <row r="81" spans="1:10" x14ac:dyDescent="0.35">
      <c r="A81" s="6">
        <v>73</v>
      </c>
      <c r="B81" s="19" t="str">
        <f>'Data Mentah'!B78</f>
        <v>20/05/2024</v>
      </c>
      <c r="C81" s="19">
        <f>'Data Mentah'!G78</f>
        <v>131</v>
      </c>
      <c r="D81" s="20">
        <f t="shared" si="14"/>
        <v>123.09435312005422</v>
      </c>
      <c r="E81" s="20">
        <f t="shared" si="15"/>
        <v>1.1950020242766426</v>
      </c>
      <c r="F81" s="20">
        <f t="shared" si="16"/>
        <v>122.21594791117137</v>
      </c>
      <c r="G81" s="20">
        <f t="shared" si="17"/>
        <v>8.7840520888286306</v>
      </c>
      <c r="H81" s="20">
        <f t="shared" si="18"/>
        <v>8.7840520888286306</v>
      </c>
      <c r="I81" s="21">
        <f t="shared" si="19"/>
        <v>77.159571099254634</v>
      </c>
      <c r="J81" s="21">
        <f t="shared" si="20"/>
        <v>6.7053832739149843</v>
      </c>
    </row>
    <row r="82" spans="1:10" x14ac:dyDescent="0.35">
      <c r="A82" s="6">
        <v>74</v>
      </c>
      <c r="B82" s="19" t="str">
        <f>'Data Mentah'!B79</f>
        <v>27/05/2024</v>
      </c>
      <c r="C82" s="19">
        <f>'Data Mentah'!G79</f>
        <v>141</v>
      </c>
      <c r="D82" s="20">
        <f t="shared" si="14"/>
        <v>125.96041962989779</v>
      </c>
      <c r="E82" s="20">
        <f t="shared" si="15"/>
        <v>1.5292149213900266</v>
      </c>
      <c r="F82" s="20">
        <f t="shared" si="16"/>
        <v>124.28935514433087</v>
      </c>
      <c r="G82" s="20">
        <f t="shared" si="17"/>
        <v>16.71064485566913</v>
      </c>
      <c r="H82" s="20">
        <f t="shared" si="18"/>
        <v>16.71064485566913</v>
      </c>
      <c r="I82" s="21">
        <f t="shared" si="19"/>
        <v>279.24565149230119</v>
      </c>
      <c r="J82" s="21">
        <f t="shared" si="20"/>
        <v>11.851521174233426</v>
      </c>
    </row>
    <row r="83" spans="1:10" x14ac:dyDescent="0.35">
      <c r="A83" s="6">
        <v>75</v>
      </c>
      <c r="B83" s="19" t="str">
        <f>'Data Mentah'!B80</f>
        <v>03/06/2024</v>
      </c>
      <c r="C83" s="19">
        <f>'Data Mentah'!G80</f>
        <v>134</v>
      </c>
      <c r="D83" s="20">
        <f t="shared" si="14"/>
        <v>128.14067109615902</v>
      </c>
      <c r="E83" s="20">
        <f t="shared" si="15"/>
        <v>1.6594222303642692</v>
      </c>
      <c r="F83" s="20">
        <f t="shared" si="16"/>
        <v>127.48963455128781</v>
      </c>
      <c r="G83" s="20">
        <f t="shared" si="17"/>
        <v>6.5103654487121929</v>
      </c>
      <c r="H83" s="20">
        <f t="shared" si="18"/>
        <v>6.5103654487121929</v>
      </c>
      <c r="I83" s="21">
        <f t="shared" si="19"/>
        <v>42.384858275785511</v>
      </c>
      <c r="J83" s="21">
        <f t="shared" si="20"/>
        <v>4.858481678143427</v>
      </c>
    </row>
    <row r="84" spans="1:10" x14ac:dyDescent="0.35">
      <c r="A84" s="6">
        <v>76</v>
      </c>
      <c r="B84" s="19" t="str">
        <f>'Data Mentah'!B81</f>
        <v>10/06/2024</v>
      </c>
      <c r="C84" s="19">
        <f>'Data Mentah'!G81</f>
        <v>131</v>
      </c>
      <c r="D84" s="20">
        <f t="shared" si="14"/>
        <v>129.92008399387097</v>
      </c>
      <c r="E84" s="20">
        <f t="shared" si="15"/>
        <v>1.6834203638338052</v>
      </c>
      <c r="F84" s="20">
        <f t="shared" si="16"/>
        <v>129.8000933265233</v>
      </c>
      <c r="G84" s="20">
        <f t="shared" si="17"/>
        <v>1.1999066734767041</v>
      </c>
      <c r="H84" s="20">
        <f t="shared" si="18"/>
        <v>1.1999066734767041</v>
      </c>
      <c r="I84" s="21">
        <f t="shared" si="19"/>
        <v>1.4397760250539298</v>
      </c>
      <c r="J84" s="21">
        <f t="shared" si="20"/>
        <v>0.91595929273030841</v>
      </c>
    </row>
    <row r="85" spans="1:10" x14ac:dyDescent="0.35">
      <c r="A85" s="6">
        <v>77</v>
      </c>
      <c r="B85" s="19" t="str">
        <f>'Data Mentah'!B82</f>
        <v>17/06/2024</v>
      </c>
      <c r="C85" s="19">
        <f>'Data Mentah'!G82</f>
        <v>125</v>
      </c>
      <c r="D85" s="20">
        <f t="shared" si="14"/>
        <v>130.94315392193431</v>
      </c>
      <c r="E85" s="20">
        <f t="shared" si="15"/>
        <v>1.5513502766797114</v>
      </c>
      <c r="F85" s="20">
        <f t="shared" si="16"/>
        <v>131.60350435770479</v>
      </c>
      <c r="G85" s="20">
        <f t="shared" si="17"/>
        <v>-6.6035043577047929</v>
      </c>
      <c r="H85" s="20">
        <f t="shared" si="18"/>
        <v>6.6035043577047929</v>
      </c>
      <c r="I85" s="21">
        <f t="shared" si="19"/>
        <v>43.606269802226187</v>
      </c>
      <c r="J85" s="21">
        <f t="shared" si="20"/>
        <v>5.2828034861638349</v>
      </c>
    </row>
    <row r="86" spans="1:10" x14ac:dyDescent="0.35">
      <c r="A86" s="6">
        <v>78</v>
      </c>
      <c r="B86" s="19" t="str">
        <f>'Data Mentah'!B83</f>
        <v>24/06/2024</v>
      </c>
      <c r="C86" s="19">
        <f>'Data Mentah'!G83</f>
        <v>114</v>
      </c>
      <c r="D86" s="20">
        <f t="shared" si="14"/>
        <v>130.64505377875261</v>
      </c>
      <c r="E86" s="20">
        <f t="shared" si="15"/>
        <v>1.1814601927074295</v>
      </c>
      <c r="F86" s="20">
        <f t="shared" si="16"/>
        <v>132.49450419861401</v>
      </c>
      <c r="G86" s="20">
        <f t="shared" si="17"/>
        <v>-18.49450419861401</v>
      </c>
      <c r="H86" s="20">
        <f t="shared" si="18"/>
        <v>18.49450419861401</v>
      </c>
      <c r="I86" s="21">
        <f t="shared" si="19"/>
        <v>342.04668555255125</v>
      </c>
      <c r="J86" s="21">
        <f t="shared" si="20"/>
        <v>16.223249297029831</v>
      </c>
    </row>
    <row r="87" spans="1:10" x14ac:dyDescent="0.35">
      <c r="A87" s="6">
        <v>79</v>
      </c>
      <c r="B87" s="19" t="str">
        <f>'Data Mentah'!B84</f>
        <v>01/07/2024</v>
      </c>
      <c r="C87" s="19">
        <f>'Data Mentah'!G84</f>
        <v>118</v>
      </c>
      <c r="D87" s="20">
        <f t="shared" si="14"/>
        <v>130.44386257431404</v>
      </c>
      <c r="E87" s="20">
        <f t="shared" si="15"/>
        <v>0.90492991327822925</v>
      </c>
      <c r="F87" s="20">
        <f t="shared" si="16"/>
        <v>131.82651397146003</v>
      </c>
      <c r="G87" s="20">
        <f t="shared" si="17"/>
        <v>-13.826513971460031</v>
      </c>
      <c r="H87" s="20">
        <f t="shared" si="18"/>
        <v>13.826513971460031</v>
      </c>
      <c r="I87" s="21">
        <f t="shared" si="19"/>
        <v>191.17248860297943</v>
      </c>
      <c r="J87" s="21">
        <f t="shared" si="20"/>
        <v>11.717384721576298</v>
      </c>
    </row>
    <row r="88" spans="1:10" x14ac:dyDescent="0.35">
      <c r="A88" s="6">
        <v>80</v>
      </c>
      <c r="B88" s="19" t="str">
        <f>'Data Mentah'!B85</f>
        <v>08/07/2024</v>
      </c>
      <c r="C88" s="19">
        <f>'Data Mentah'!G85</f>
        <v>117</v>
      </c>
      <c r="D88" s="20">
        <f t="shared" si="14"/>
        <v>129.91391323883306</v>
      </c>
      <c r="E88" s="20">
        <f t="shared" si="15"/>
        <v>0.61795406352638782</v>
      </c>
      <c r="F88" s="20">
        <f t="shared" si="16"/>
        <v>131.34879248759228</v>
      </c>
      <c r="G88" s="20">
        <f t="shared" si="17"/>
        <v>-14.348792487592277</v>
      </c>
      <c r="H88" s="20">
        <f t="shared" si="18"/>
        <v>14.348792487592277</v>
      </c>
      <c r="I88" s="21">
        <f t="shared" si="19"/>
        <v>205.88784585198457</v>
      </c>
      <c r="J88" s="21">
        <f t="shared" si="20"/>
        <v>12.263925203070322</v>
      </c>
    </row>
    <row r="89" spans="1:10" x14ac:dyDescent="0.35">
      <c r="A89" s="6">
        <v>81</v>
      </c>
      <c r="B89" s="19" t="str">
        <f>'Data Mentah'!B86</f>
        <v>15/07/2024</v>
      </c>
      <c r="C89" s="19">
        <f>'Data Mentah'!G86</f>
        <v>117</v>
      </c>
      <c r="D89" s="20">
        <f t="shared" si="14"/>
        <v>129.17868057212351</v>
      </c>
      <c r="E89" s="20">
        <f t="shared" si="15"/>
        <v>0.34731671747920034</v>
      </c>
      <c r="F89" s="20">
        <f t="shared" si="16"/>
        <v>130.53186730235944</v>
      </c>
      <c r="G89" s="20">
        <f t="shared" si="17"/>
        <v>-13.531867302359444</v>
      </c>
      <c r="H89" s="20">
        <f t="shared" si="18"/>
        <v>13.531867302359444</v>
      </c>
      <c r="I89" s="21">
        <f t="shared" si="19"/>
        <v>183.11143268866465</v>
      </c>
      <c r="J89" s="21">
        <f t="shared" si="20"/>
        <v>11.565698549025166</v>
      </c>
    </row>
    <row r="90" spans="1:10" x14ac:dyDescent="0.35">
      <c r="A90" s="6">
        <v>82</v>
      </c>
      <c r="B90" s="19" t="str">
        <f>'Data Mentah'!B87</f>
        <v>22/07/2024</v>
      </c>
      <c r="C90" s="19">
        <f>'Data Mentah'!G87</f>
        <v>115</v>
      </c>
      <c r="D90" s="20">
        <f t="shared" si="14"/>
        <v>128.07339756064243</v>
      </c>
      <c r="E90" s="20">
        <f t="shared" si="15"/>
        <v>5.6796771687144809E-2</v>
      </c>
      <c r="F90" s="20">
        <f t="shared" si="16"/>
        <v>129.52599728960271</v>
      </c>
      <c r="G90" s="20">
        <f t="shared" si="17"/>
        <v>-14.525997289602714</v>
      </c>
      <c r="H90" s="20">
        <f t="shared" si="18"/>
        <v>14.525997289602714</v>
      </c>
      <c r="I90" s="21">
        <f t="shared" si="19"/>
        <v>211.00459725754538</v>
      </c>
      <c r="J90" s="21">
        <f t="shared" si="20"/>
        <v>12.631301990958882</v>
      </c>
    </row>
    <row r="91" spans="1:10" x14ac:dyDescent="0.35">
      <c r="A91" s="6">
        <v>83</v>
      </c>
      <c r="B91" s="19" t="str">
        <f>'Data Mentah'!B88</f>
        <v>29/07/2024</v>
      </c>
      <c r="C91" s="19">
        <f>'Data Mentah'!G88</f>
        <v>112</v>
      </c>
      <c r="D91" s="20">
        <f t="shared" si="14"/>
        <v>126.51717489909663</v>
      </c>
      <c r="E91" s="20">
        <f t="shared" si="15"/>
        <v>-0.26580711495944476</v>
      </c>
      <c r="F91" s="20">
        <f t="shared" si="16"/>
        <v>128.13019433232958</v>
      </c>
      <c r="G91" s="20">
        <f t="shared" si="17"/>
        <v>-16.13019433232958</v>
      </c>
      <c r="H91" s="20">
        <f t="shared" si="18"/>
        <v>16.13019433232958</v>
      </c>
      <c r="I91" s="21">
        <f t="shared" si="19"/>
        <v>260.18316919871734</v>
      </c>
      <c r="J91" s="21">
        <f t="shared" si="20"/>
        <v>14.401959225294267</v>
      </c>
    </row>
    <row r="92" spans="1:10" x14ac:dyDescent="0.35">
      <c r="A92" s="6">
        <v>84</v>
      </c>
      <c r="B92" s="19" t="str">
        <f>'Data Mentah'!B89</f>
        <v>05/08/2024</v>
      </c>
      <c r="C92" s="19">
        <f>'Data Mentah'!G89</f>
        <v>112</v>
      </c>
      <c r="D92" s="20">
        <f t="shared" si="14"/>
        <v>124.82623100572347</v>
      </c>
      <c r="E92" s="20">
        <f t="shared" si="15"/>
        <v>-0.55083447064218771</v>
      </c>
      <c r="F92" s="20">
        <f t="shared" si="16"/>
        <v>126.25136778413719</v>
      </c>
      <c r="G92" s="20">
        <f t="shared" si="17"/>
        <v>-14.251367784137187</v>
      </c>
      <c r="H92" s="20">
        <f t="shared" si="18"/>
        <v>14.251367784137187</v>
      </c>
      <c r="I92" s="21">
        <f t="shared" si="19"/>
        <v>203.10148371874328</v>
      </c>
      <c r="J92" s="21">
        <f t="shared" si="20"/>
        <v>12.724435521551062</v>
      </c>
    </row>
    <row r="93" spans="1:10" x14ac:dyDescent="0.35">
      <c r="A93" s="6">
        <v>85</v>
      </c>
      <c r="B93" s="19" t="str">
        <f>'Data Mentah'!B90</f>
        <v>12/08/2024</v>
      </c>
      <c r="C93" s="19">
        <f>'Data Mentah'!G90</f>
        <v>124</v>
      </c>
      <c r="D93" s="20">
        <f t="shared" si="14"/>
        <v>124.24785688157317</v>
      </c>
      <c r="E93" s="20">
        <f t="shared" si="15"/>
        <v>-0.55634240134381041</v>
      </c>
      <c r="F93" s="20">
        <f t="shared" si="16"/>
        <v>124.27539653508128</v>
      </c>
      <c r="G93" s="20">
        <f t="shared" si="17"/>
        <v>-0.27539653508128481</v>
      </c>
      <c r="H93" s="20">
        <f t="shared" si="18"/>
        <v>0.27539653508128481</v>
      </c>
      <c r="I93" s="21">
        <f t="shared" si="19"/>
        <v>7.5843251534777334E-2</v>
      </c>
      <c r="J93" s="21">
        <f t="shared" si="20"/>
        <v>0.22209397990426194</v>
      </c>
    </row>
    <row r="94" spans="1:10" x14ac:dyDescent="0.35">
      <c r="A94" s="6">
        <v>86</v>
      </c>
      <c r="B94" s="19" t="str">
        <f>'Data Mentah'!B91</f>
        <v>19/08/2024</v>
      </c>
      <c r="C94" s="19">
        <f>'Data Mentah'!G91</f>
        <v>132</v>
      </c>
      <c r="D94" s="20">
        <f t="shared" si="14"/>
        <v>124.52236303220643</v>
      </c>
      <c r="E94" s="20">
        <f t="shared" si="15"/>
        <v>-0.39017269094839679</v>
      </c>
      <c r="F94" s="20">
        <f t="shared" si="16"/>
        <v>123.69151448022936</v>
      </c>
      <c r="G94" s="20">
        <f t="shared" si="17"/>
        <v>8.3084855197706418</v>
      </c>
      <c r="H94" s="20">
        <f t="shared" si="18"/>
        <v>8.3084855197706418</v>
      </c>
      <c r="I94" s="21">
        <f t="shared" si="19"/>
        <v>69.030931632238435</v>
      </c>
      <c r="J94" s="21">
        <f t="shared" si="20"/>
        <v>6.2943072119474559</v>
      </c>
    </row>
    <row r="95" spans="1:10" x14ac:dyDescent="0.35">
      <c r="A95" s="6">
        <v>87</v>
      </c>
      <c r="B95" s="19" t="str">
        <f>'Data Mentah'!B92</f>
        <v>26/08/2024</v>
      </c>
      <c r="C95" s="19">
        <f>'Data Mentah'!G92</f>
        <v>126</v>
      </c>
      <c r="D95" s="20">
        <f t="shared" si="14"/>
        <v>124.31897130713224</v>
      </c>
      <c r="E95" s="20">
        <f t="shared" si="15"/>
        <v>-0.35281649777355423</v>
      </c>
      <c r="F95" s="20">
        <f t="shared" si="16"/>
        <v>124.13219034125804</v>
      </c>
      <c r="G95" s="20">
        <f t="shared" si="17"/>
        <v>1.8678096587419617</v>
      </c>
      <c r="H95" s="20">
        <f t="shared" si="18"/>
        <v>1.8678096587419617</v>
      </c>
      <c r="I95" s="21">
        <f t="shared" si="19"/>
        <v>3.4887129212897636</v>
      </c>
      <c r="J95" s="21">
        <f t="shared" si="20"/>
        <v>1.4823886180491761</v>
      </c>
    </row>
    <row r="96" spans="1:10" x14ac:dyDescent="0.35">
      <c r="A96" s="6">
        <v>88</v>
      </c>
      <c r="B96" s="19" t="str">
        <f>'Data Mentah'!B93</f>
        <v>02/09/2024</v>
      </c>
      <c r="C96" s="19">
        <f>'Data Mentah'!G93</f>
        <v>119</v>
      </c>
      <c r="D96" s="20">
        <f t="shared" si="14"/>
        <v>123.46953932842283</v>
      </c>
      <c r="E96" s="20">
        <f t="shared" si="15"/>
        <v>-0.45213959396072706</v>
      </c>
      <c r="F96" s="20">
        <f t="shared" si="16"/>
        <v>123.96615480935868</v>
      </c>
      <c r="G96" s="20">
        <f t="shared" si="17"/>
        <v>-4.9661548093586845</v>
      </c>
      <c r="H96" s="20">
        <f t="shared" si="18"/>
        <v>4.9661548093586845</v>
      </c>
      <c r="I96" s="21">
        <f t="shared" si="19"/>
        <v>24.66269359051639</v>
      </c>
      <c r="J96" s="21">
        <f t="shared" si="20"/>
        <v>4.1732393355955333</v>
      </c>
    </row>
    <row r="97" spans="1:10" x14ac:dyDescent="0.35">
      <c r="A97" s="6">
        <v>89</v>
      </c>
      <c r="B97" s="19" t="str">
        <f>'Data Mentah'!B94</f>
        <v>09/09/2024</v>
      </c>
      <c r="C97" s="19">
        <f>'Data Mentah'!G94</f>
        <v>116</v>
      </c>
      <c r="D97" s="20">
        <f t="shared" si="14"/>
        <v>122.31565976101589</v>
      </c>
      <c r="E97" s="20">
        <f t="shared" si="15"/>
        <v>-0.59248758864996809</v>
      </c>
      <c r="F97" s="20">
        <f t="shared" si="16"/>
        <v>123.0173997344621</v>
      </c>
      <c r="G97" s="20">
        <f t="shared" si="17"/>
        <v>-7.0173997344621029</v>
      </c>
      <c r="H97" s="20">
        <f t="shared" si="18"/>
        <v>7.0173997344621029</v>
      </c>
      <c r="I97" s="21">
        <f t="shared" si="19"/>
        <v>49.243899033228793</v>
      </c>
      <c r="J97" s="21">
        <f t="shared" si="20"/>
        <v>6.0494825297087091</v>
      </c>
    </row>
    <row r="98" spans="1:10" x14ac:dyDescent="0.35">
      <c r="A98" s="6">
        <v>90</v>
      </c>
      <c r="B98" s="19" t="str">
        <f>'Data Mentah'!B95</f>
        <v>16/09/2024</v>
      </c>
      <c r="C98" s="19">
        <f>'Data Mentah'!G95</f>
        <v>115</v>
      </c>
      <c r="D98" s="20">
        <f t="shared" si="14"/>
        <v>121.05085495512932</v>
      </c>
      <c r="E98" s="20">
        <f t="shared" si="15"/>
        <v>-0.72695103209728851</v>
      </c>
      <c r="F98" s="20">
        <f t="shared" si="16"/>
        <v>121.72317217236592</v>
      </c>
      <c r="G98" s="20">
        <f t="shared" si="17"/>
        <v>-6.7231721723659206</v>
      </c>
      <c r="H98" s="20">
        <f t="shared" si="18"/>
        <v>6.7231721723659206</v>
      </c>
      <c r="I98" s="21">
        <f t="shared" si="19"/>
        <v>45.201044059275489</v>
      </c>
      <c r="J98" s="21">
        <f t="shared" si="20"/>
        <v>5.8462366716225391</v>
      </c>
    </row>
    <row r="99" spans="1:10" x14ac:dyDescent="0.35">
      <c r="A99" s="6">
        <v>91</v>
      </c>
      <c r="B99" s="19" t="str">
        <f>'Data Mentah'!B96</f>
        <v>23/09/2024</v>
      </c>
      <c r="C99" s="19">
        <f>'Data Mentah'!G96</f>
        <v>120</v>
      </c>
      <c r="D99" s="20">
        <f t="shared" si="14"/>
        <v>120.29151353072884</v>
      </c>
      <c r="E99" s="20">
        <f t="shared" si="15"/>
        <v>-0.7334291105579287</v>
      </c>
      <c r="F99" s="20">
        <f t="shared" si="16"/>
        <v>120.32390392303203</v>
      </c>
      <c r="G99" s="20">
        <f t="shared" si="17"/>
        <v>-0.32390392303203441</v>
      </c>
      <c r="H99" s="20">
        <f t="shared" si="18"/>
        <v>0.32390392303203441</v>
      </c>
      <c r="I99" s="21">
        <f t="shared" si="19"/>
        <v>0.10491375135554207</v>
      </c>
      <c r="J99" s="21">
        <f t="shared" si="20"/>
        <v>0.26991993586002866</v>
      </c>
    </row>
    <row r="100" spans="1:10" x14ac:dyDescent="0.35">
      <c r="A100" s="6">
        <v>92</v>
      </c>
      <c r="B100" s="19" t="str">
        <f>'Data Mentah'!B97</f>
        <v>30/09/2024</v>
      </c>
      <c r="C100" s="19">
        <f>'Data Mentah'!G97</f>
        <v>124</v>
      </c>
      <c r="D100" s="20">
        <f t="shared" si="14"/>
        <v>120.00227597815382</v>
      </c>
      <c r="E100" s="20">
        <f t="shared" si="15"/>
        <v>-0.6445907989613463</v>
      </c>
      <c r="F100" s="20">
        <f t="shared" si="16"/>
        <v>119.5580844201709</v>
      </c>
      <c r="G100" s="20">
        <f t="shared" si="17"/>
        <v>4.4419155798291001</v>
      </c>
      <c r="H100" s="20">
        <f t="shared" si="18"/>
        <v>4.4419155798291001</v>
      </c>
      <c r="I100" s="21">
        <f t="shared" si="19"/>
        <v>19.730614018328492</v>
      </c>
      <c r="J100" s="21">
        <f t="shared" si="20"/>
        <v>3.5821899837331452</v>
      </c>
    </row>
    <row r="101" spans="1:10" x14ac:dyDescent="0.35">
      <c r="A101" s="6">
        <v>93</v>
      </c>
      <c r="B101" s="19" t="str">
        <f>'Data Mentah'!B98</f>
        <v>07/10/2024</v>
      </c>
      <c r="C101" s="19">
        <f>'Data Mentah'!G98</f>
        <v>122</v>
      </c>
      <c r="D101" s="20">
        <f t="shared" si="14"/>
        <v>119.62191666127323</v>
      </c>
      <c r="E101" s="20">
        <f t="shared" si="15"/>
        <v>-0.59174450254519428</v>
      </c>
      <c r="F101" s="20">
        <f t="shared" si="16"/>
        <v>119.35768517919247</v>
      </c>
      <c r="G101" s="20">
        <f t="shared" si="17"/>
        <v>2.6423148208075276</v>
      </c>
      <c r="H101" s="20">
        <f t="shared" si="18"/>
        <v>2.6423148208075276</v>
      </c>
      <c r="I101" s="21">
        <f t="shared" si="19"/>
        <v>6.9818276122591163</v>
      </c>
      <c r="J101" s="21">
        <f t="shared" si="20"/>
        <v>2.1658318203340388</v>
      </c>
    </row>
    <row r="102" spans="1:10" x14ac:dyDescent="0.35">
      <c r="A102" s="6">
        <v>94</v>
      </c>
      <c r="B102" s="19" t="str">
        <f>'Data Mentah'!B99</f>
        <v>14/10/2024</v>
      </c>
      <c r="C102" s="19">
        <f>'Data Mentah'!G99</f>
        <v>122</v>
      </c>
      <c r="D102" s="20">
        <f t="shared" si="14"/>
        <v>119.32715494285523</v>
      </c>
      <c r="E102" s="20">
        <f t="shared" si="15"/>
        <v>-0.53234794571975574</v>
      </c>
      <c r="F102" s="20">
        <f t="shared" si="16"/>
        <v>119.03017215872804</v>
      </c>
      <c r="G102" s="20">
        <f t="shared" si="17"/>
        <v>2.9698278412719645</v>
      </c>
      <c r="H102" s="20">
        <f t="shared" si="18"/>
        <v>2.9698278412719645</v>
      </c>
      <c r="I102" s="21">
        <f t="shared" si="19"/>
        <v>8.819877406794097</v>
      </c>
      <c r="J102" s="21">
        <f t="shared" si="20"/>
        <v>2.4342851157966923</v>
      </c>
    </row>
    <row r="103" spans="1:10" x14ac:dyDescent="0.35">
      <c r="A103" s="6">
        <v>95</v>
      </c>
      <c r="B103" s="19" t="str">
        <f>'Data Mentah'!B100</f>
        <v>21/10/2024</v>
      </c>
      <c r="C103" s="19">
        <f>'Data Mentah'!G100</f>
        <v>126</v>
      </c>
      <c r="D103" s="20">
        <f t="shared" si="14"/>
        <v>119.51532629742195</v>
      </c>
      <c r="E103" s="20">
        <f t="shared" si="15"/>
        <v>-0.38824408566246071</v>
      </c>
      <c r="F103" s="20">
        <f t="shared" si="16"/>
        <v>118.79480699713548</v>
      </c>
      <c r="G103" s="20">
        <f t="shared" si="17"/>
        <v>7.2051930028645188</v>
      </c>
      <c r="H103" s="20">
        <f t="shared" si="18"/>
        <v>7.2051930028645188</v>
      </c>
      <c r="I103" s="21">
        <f t="shared" si="19"/>
        <v>51.914806208527821</v>
      </c>
      <c r="J103" s="21">
        <f t="shared" si="20"/>
        <v>5.7184071451305707</v>
      </c>
    </row>
    <row r="104" spans="1:10" x14ac:dyDescent="0.35">
      <c r="A104" s="6">
        <v>96</v>
      </c>
      <c r="B104" s="19" t="str">
        <f>'Data Mentah'!B101</f>
        <v>28/10/2024</v>
      </c>
      <c r="C104" s="19">
        <f>'Data Mentah'!G101</f>
        <v>127</v>
      </c>
      <c r="D104" s="20">
        <f t="shared" si="14"/>
        <v>119.91437399058354</v>
      </c>
      <c r="E104" s="20">
        <f t="shared" si="15"/>
        <v>-0.23078572989765028</v>
      </c>
      <c r="F104" s="20">
        <f t="shared" si="16"/>
        <v>119.12708221175949</v>
      </c>
      <c r="G104" s="20">
        <f t="shared" si="17"/>
        <v>7.8729177882405139</v>
      </c>
      <c r="H104" s="20">
        <f t="shared" si="18"/>
        <v>7.8729177882405139</v>
      </c>
      <c r="I104" s="21">
        <f t="shared" si="19"/>
        <v>61.982834500393906</v>
      </c>
      <c r="J104" s="21">
        <f t="shared" si="20"/>
        <v>6.1991478647563101</v>
      </c>
    </row>
    <row r="105" spans="1:10" x14ac:dyDescent="0.35">
      <c r="A105" s="6">
        <v>97</v>
      </c>
      <c r="B105" s="19" t="str">
        <f>'Data Mentah'!B102</f>
        <v>04/11/2024</v>
      </c>
      <c r="C105" s="19">
        <f>'Data Mentah'!G102</f>
        <v>121</v>
      </c>
      <c r="D105" s="20">
        <f t="shared" ref="D105:D136" si="21">$E$4*C105+(1-$E$4)*(D104+E104)</f>
        <v>119.81522943461732</v>
      </c>
      <c r="E105" s="20">
        <f t="shared" ref="E105:E136" si="22">$H$4*(D105-D104)+(1-$H$4)*E104</f>
        <v>-0.20445749511136416</v>
      </c>
      <c r="F105" s="20">
        <f t="shared" ref="F105:F113" si="23">D104+E104</f>
        <v>119.68358826068589</v>
      </c>
      <c r="G105" s="20">
        <f t="shared" ref="G105:G136" si="24">C105-F105</f>
        <v>1.3164117393141055</v>
      </c>
      <c r="H105" s="20">
        <f t="shared" ref="H105:H136" si="25">ABS(G105)</f>
        <v>1.3164117393141055</v>
      </c>
      <c r="I105" s="21">
        <f t="shared" ref="I105:I113" si="26">G105^2</f>
        <v>1.7329398674039884</v>
      </c>
      <c r="J105" s="21">
        <f t="shared" ref="J105:J113" si="27">ABS(G105/C105)*100</f>
        <v>1.0879435862100046</v>
      </c>
    </row>
    <row r="106" spans="1:10" x14ac:dyDescent="0.35">
      <c r="A106" s="6">
        <v>98</v>
      </c>
      <c r="B106" s="19" t="str">
        <f>'Data Mentah'!B103</f>
        <v>11/11/2024</v>
      </c>
      <c r="C106" s="19">
        <f>'Data Mentah'!G103</f>
        <v>121</v>
      </c>
      <c r="D106" s="20">
        <f t="shared" si="21"/>
        <v>119.74969474555536</v>
      </c>
      <c r="E106" s="20">
        <f t="shared" si="22"/>
        <v>-0.17667293390148386</v>
      </c>
      <c r="F106" s="20">
        <f t="shared" si="23"/>
        <v>119.61077193950595</v>
      </c>
      <c r="G106" s="20">
        <f t="shared" si="24"/>
        <v>1.3892280604940481</v>
      </c>
      <c r="H106" s="20">
        <f t="shared" si="25"/>
        <v>1.3892280604940481</v>
      </c>
      <c r="I106" s="21">
        <f t="shared" si="26"/>
        <v>1.9299546040640547</v>
      </c>
      <c r="J106" s="21">
        <f t="shared" si="27"/>
        <v>1.1481223640446678</v>
      </c>
    </row>
    <row r="107" spans="1:10" x14ac:dyDescent="0.35">
      <c r="A107" s="6">
        <v>99</v>
      </c>
      <c r="B107" s="19" t="str">
        <f>'Data Mentah'!B104</f>
        <v>18/11/2024</v>
      </c>
      <c r="C107" s="19">
        <f>'Data Mentah'!G104</f>
        <v>112</v>
      </c>
      <c r="D107" s="20">
        <f t="shared" si="21"/>
        <v>118.81571963048849</v>
      </c>
      <c r="E107" s="20">
        <f t="shared" si="22"/>
        <v>-0.32813337013456145</v>
      </c>
      <c r="F107" s="20">
        <f t="shared" si="23"/>
        <v>119.57302181165387</v>
      </c>
      <c r="G107" s="20">
        <f t="shared" si="24"/>
        <v>-7.5730218116538737</v>
      </c>
      <c r="H107" s="20">
        <f t="shared" si="25"/>
        <v>7.5730218116538737</v>
      </c>
      <c r="I107" s="21">
        <f t="shared" si="26"/>
        <v>57.350659359785318</v>
      </c>
      <c r="J107" s="21">
        <f t="shared" si="27"/>
        <v>6.7616266175481012</v>
      </c>
    </row>
    <row r="108" spans="1:10" x14ac:dyDescent="0.35">
      <c r="A108" s="6">
        <v>100</v>
      </c>
      <c r="B108" s="19" t="str">
        <f>'Data Mentah'!B105</f>
        <v>25/11/2024</v>
      </c>
      <c r="C108" s="19">
        <f>'Data Mentah'!G105</f>
        <v>118</v>
      </c>
      <c r="D108" s="20">
        <f t="shared" si="21"/>
        <v>118.43882763431853</v>
      </c>
      <c r="E108" s="20">
        <f t="shared" si="22"/>
        <v>-0.33788509534164107</v>
      </c>
      <c r="F108" s="20">
        <f t="shared" si="23"/>
        <v>118.48758626035392</v>
      </c>
      <c r="G108" s="20">
        <f t="shared" si="24"/>
        <v>-0.48758626035392183</v>
      </c>
      <c r="H108" s="20">
        <f t="shared" si="25"/>
        <v>0.48758626035392183</v>
      </c>
      <c r="I108" s="21">
        <f t="shared" si="26"/>
        <v>0.23774036128592244</v>
      </c>
      <c r="J108" s="21">
        <f t="shared" si="27"/>
        <v>0.41320869521518799</v>
      </c>
    </row>
    <row r="109" spans="1:10" x14ac:dyDescent="0.35">
      <c r="A109" s="6">
        <v>101</v>
      </c>
      <c r="B109" s="19" t="str">
        <f>'Data Mentah'!B106</f>
        <v>02/12/2024</v>
      </c>
      <c r="C109" s="19">
        <f>'Data Mentah'!G106</f>
        <v>116</v>
      </c>
      <c r="D109" s="20">
        <f t="shared" si="21"/>
        <v>117.89084828507919</v>
      </c>
      <c r="E109" s="20">
        <f t="shared" si="22"/>
        <v>-0.37990394612118111</v>
      </c>
      <c r="F109" s="20">
        <f t="shared" si="23"/>
        <v>118.10094253897688</v>
      </c>
      <c r="G109" s="20">
        <f t="shared" si="24"/>
        <v>-2.1009425389768808</v>
      </c>
      <c r="H109" s="20">
        <f t="shared" si="25"/>
        <v>2.1009425389768808</v>
      </c>
      <c r="I109" s="21">
        <f t="shared" si="26"/>
        <v>4.4139595520826225</v>
      </c>
      <c r="J109" s="21">
        <f t="shared" si="27"/>
        <v>1.8111573611869662</v>
      </c>
    </row>
    <row r="110" spans="1:10" x14ac:dyDescent="0.35">
      <c r="A110" s="6">
        <v>102</v>
      </c>
      <c r="B110" s="19" t="str">
        <f>'Data Mentah'!B107</f>
        <v>09/12/2024</v>
      </c>
      <c r="C110" s="19">
        <f>'Data Mentah'!G107</f>
        <v>119</v>
      </c>
      <c r="D110" s="20">
        <f t="shared" si="21"/>
        <v>117.65984990506222</v>
      </c>
      <c r="E110" s="20">
        <f t="shared" si="22"/>
        <v>-0.35012283290033902</v>
      </c>
      <c r="F110" s="20">
        <f t="shared" si="23"/>
        <v>117.51094433895801</v>
      </c>
      <c r="G110" s="20">
        <f t="shared" si="24"/>
        <v>1.4890556610419878</v>
      </c>
      <c r="H110" s="20">
        <f t="shared" si="25"/>
        <v>1.4890556610419878</v>
      </c>
      <c r="I110" s="21">
        <f t="shared" si="26"/>
        <v>2.2172867616811915</v>
      </c>
      <c r="J110" s="21">
        <f t="shared" si="27"/>
        <v>1.2513072781865444</v>
      </c>
    </row>
    <row r="111" spans="1:10" x14ac:dyDescent="0.35">
      <c r="A111" s="6">
        <v>103</v>
      </c>
      <c r="B111" s="19" t="str">
        <f>'Data Mentah'!B108</f>
        <v>16/12/2024</v>
      </c>
      <c r="C111" s="19">
        <f>'Data Mentah'!G108</f>
        <v>116</v>
      </c>
      <c r="D111" s="20">
        <f t="shared" si="21"/>
        <v>117.17875436494569</v>
      </c>
      <c r="E111" s="20">
        <f t="shared" si="22"/>
        <v>-0.3763173743435767</v>
      </c>
      <c r="F111" s="20">
        <f t="shared" si="23"/>
        <v>117.30972707216188</v>
      </c>
      <c r="G111" s="20">
        <f t="shared" si="24"/>
        <v>-1.309727072161877</v>
      </c>
      <c r="H111" s="20">
        <f t="shared" si="25"/>
        <v>1.309727072161877</v>
      </c>
      <c r="I111" s="21">
        <f t="shared" si="26"/>
        <v>1.7153850035537226</v>
      </c>
      <c r="J111" s="21">
        <f t="shared" si="27"/>
        <v>1.1290750622085146</v>
      </c>
    </row>
    <row r="112" spans="1:10" x14ac:dyDescent="0.35">
      <c r="A112" s="6">
        <v>104</v>
      </c>
      <c r="B112" s="19" t="str">
        <f>'Data Mentah'!B109</f>
        <v>23/12/2024</v>
      </c>
      <c r="C112" s="19">
        <f>'Data Mentah'!G109</f>
        <v>105</v>
      </c>
      <c r="D112" s="20">
        <f t="shared" si="21"/>
        <v>115.6221932915419</v>
      </c>
      <c r="E112" s="20">
        <f t="shared" si="22"/>
        <v>-0.61236611415561837</v>
      </c>
      <c r="F112" s="20">
        <f t="shared" si="23"/>
        <v>116.80243699060212</v>
      </c>
      <c r="G112" s="20">
        <f t="shared" si="24"/>
        <v>-11.802436990602118</v>
      </c>
      <c r="H112" s="20">
        <f t="shared" si="25"/>
        <v>11.802436990602118</v>
      </c>
      <c r="I112" s="21">
        <f t="shared" si="26"/>
        <v>139.29751891713317</v>
      </c>
      <c r="J112" s="21">
        <f t="shared" si="27"/>
        <v>11.240416181525827</v>
      </c>
    </row>
    <row r="113" spans="1:10" x14ac:dyDescent="0.35">
      <c r="A113" s="6">
        <v>105</v>
      </c>
      <c r="B113" s="19" t="str">
        <f>'Data Mentah'!B110</f>
        <v>30/12/2024</v>
      </c>
      <c r="C113" s="19">
        <f>'Data Mentah'!G110</f>
        <v>91</v>
      </c>
      <c r="D113" s="20">
        <f t="shared" si="21"/>
        <v>112.60884445964766</v>
      </c>
      <c r="E113" s="20">
        <f t="shared" si="22"/>
        <v>-1.0925626577033445</v>
      </c>
      <c r="F113" s="20">
        <f t="shared" si="23"/>
        <v>115.00982717738628</v>
      </c>
      <c r="G113" s="20">
        <f t="shared" si="24"/>
        <v>-24.009827177386285</v>
      </c>
      <c r="H113" s="20">
        <f t="shared" si="25"/>
        <v>24.009827177386285</v>
      </c>
      <c r="I113" s="21">
        <f t="shared" si="26"/>
        <v>576.47180108795703</v>
      </c>
      <c r="J113" s="21">
        <f t="shared" si="27"/>
        <v>26.384425469655259</v>
      </c>
    </row>
    <row r="115" spans="1:10" x14ac:dyDescent="0.35">
      <c r="A115" s="2" t="s">
        <v>178</v>
      </c>
      <c r="B115" s="2"/>
      <c r="C115" s="2"/>
      <c r="D115" s="2"/>
    </row>
    <row r="116" spans="1:10" x14ac:dyDescent="0.35">
      <c r="A116" s="1" t="s">
        <v>179</v>
      </c>
      <c r="B116" s="1"/>
      <c r="C116" s="1"/>
      <c r="D116" s="22">
        <f>AVERAGE(H93:H113)</f>
        <v>5.0520346998957786</v>
      </c>
    </row>
    <row r="117" spans="1:10" x14ac:dyDescent="0.35">
      <c r="A117" s="1" t="s">
        <v>180</v>
      </c>
      <c r="B117" s="1"/>
      <c r="C117" s="1"/>
      <c r="D117" s="22">
        <f>AVERAGE(I93:I113)</f>
        <v>53.647868738128075</v>
      </c>
    </row>
    <row r="118" spans="1:10" x14ac:dyDescent="0.35">
      <c r="A118" s="1" t="s">
        <v>181</v>
      </c>
      <c r="B118" s="1"/>
      <c r="C118" s="1"/>
      <c r="D118" s="23">
        <f>AVERAGE(J93:J113)</f>
        <v>4.5554672775342633</v>
      </c>
    </row>
    <row r="119" spans="1:10" x14ac:dyDescent="0.35">
      <c r="A119" s="1" t="s">
        <v>182</v>
      </c>
      <c r="B119" s="1"/>
      <c r="C119" s="1"/>
      <c r="D119" s="24" t="str">
        <f>IF(D118&lt;10,"Sangat Baik",IF(D118&lt;20,"Baik",IF(D118&lt;=50,"Cukup","Rendah")))</f>
        <v>Sangat Baik</v>
      </c>
    </row>
    <row r="120" spans="1:10" x14ac:dyDescent="0.35">
      <c r="A120" s="1" t="s">
        <v>183</v>
      </c>
      <c r="B120" s="1"/>
      <c r="C120" s="1"/>
      <c r="D120" s="23">
        <f>D113+E113</f>
        <v>111.51628180194432</v>
      </c>
    </row>
    <row r="121" spans="1:10" x14ac:dyDescent="0.35">
      <c r="A121" s="1" t="s">
        <v>184</v>
      </c>
      <c r="B121" s="1"/>
      <c r="C121" s="1"/>
      <c r="D121" s="23">
        <f>AVERAGE(C9:C113)</f>
        <v>119.20952380952382</v>
      </c>
    </row>
  </sheetData>
  <mergeCells count="9">
    <mergeCell ref="A118:C118"/>
    <mergeCell ref="A119:C119"/>
    <mergeCell ref="A120:C120"/>
    <mergeCell ref="A121:C121"/>
    <mergeCell ref="A1:J1"/>
    <mergeCell ref="A2:J2"/>
    <mergeCell ref="A115:D115"/>
    <mergeCell ref="A116:C116"/>
    <mergeCell ref="A117:C117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121"/>
  <sheetViews>
    <sheetView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8.6328125" defaultRowHeight="14.5" x14ac:dyDescent="0.35"/>
  <cols>
    <col min="1" max="1" width="9" customWidth="1"/>
    <col min="2" max="2" width="12" customWidth="1"/>
    <col min="3" max="3" width="9" customWidth="1"/>
    <col min="4" max="6" width="11" customWidth="1"/>
    <col min="7" max="8" width="10" customWidth="1"/>
    <col min="9" max="9" width="11" customWidth="1"/>
    <col min="10" max="10" width="10" customWidth="1"/>
  </cols>
  <sheetData>
    <row r="1" spans="1:10" ht="18" x14ac:dyDescent="0.4">
      <c r="A1" s="3" t="s">
        <v>189</v>
      </c>
      <c r="B1" s="3"/>
      <c r="C1" s="3"/>
      <c r="D1" s="3"/>
      <c r="E1" s="3"/>
      <c r="F1" s="3"/>
      <c r="G1" s="3"/>
      <c r="H1" s="3"/>
      <c r="I1" s="3"/>
      <c r="J1" s="3"/>
    </row>
    <row r="2" spans="1:10" ht="27.75" customHeight="1" x14ac:dyDescent="0.35">
      <c r="A2" s="4" t="s">
        <v>163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35">
      <c r="A4" s="15" t="s">
        <v>164</v>
      </c>
      <c r="B4" s="16" t="s">
        <v>10</v>
      </c>
      <c r="D4" s="15" t="s">
        <v>165</v>
      </c>
      <c r="E4" s="17">
        <v>0.9</v>
      </c>
      <c r="G4" s="15" t="s">
        <v>166</v>
      </c>
      <c r="H4" s="17">
        <v>0.9</v>
      </c>
    </row>
    <row r="5" spans="1:10" x14ac:dyDescent="0.35">
      <c r="A5" s="15" t="s">
        <v>167</v>
      </c>
      <c r="B5" s="18">
        <f>'Data Mentah'!H5</f>
        <v>23</v>
      </c>
      <c r="D5" s="15" t="s">
        <v>168</v>
      </c>
      <c r="E5" s="17">
        <v>0</v>
      </c>
    </row>
    <row r="7" spans="1:10" x14ac:dyDescent="0.35">
      <c r="A7" s="5" t="s">
        <v>169</v>
      </c>
      <c r="B7" s="5" t="s">
        <v>4</v>
      </c>
      <c r="C7" s="5" t="s">
        <v>170</v>
      </c>
      <c r="D7" s="5" t="s">
        <v>171</v>
      </c>
      <c r="E7" s="5" t="s">
        <v>172</v>
      </c>
      <c r="F7" s="5" t="s">
        <v>173</v>
      </c>
      <c r="G7" s="5" t="s">
        <v>174</v>
      </c>
      <c r="H7" s="5" t="s">
        <v>175</v>
      </c>
      <c r="I7" s="5" t="s">
        <v>176</v>
      </c>
      <c r="J7" s="5" t="s">
        <v>177</v>
      </c>
    </row>
    <row r="8" spans="1:10" x14ac:dyDescent="0.35">
      <c r="A8" s="6">
        <v>0</v>
      </c>
      <c r="B8" s="19" t="str">
        <f>'Data Mentah'!B5</f>
        <v>26/12/2022</v>
      </c>
      <c r="C8" s="19">
        <f>'Data Mentah'!H5</f>
        <v>23</v>
      </c>
      <c r="D8" s="10">
        <f>$B$5</f>
        <v>23</v>
      </c>
      <c r="E8" s="10">
        <f>$E$5</f>
        <v>0</v>
      </c>
    </row>
    <row r="9" spans="1:10" x14ac:dyDescent="0.35">
      <c r="A9" s="6">
        <v>1</v>
      </c>
      <c r="B9" s="19" t="str">
        <f>'Data Mentah'!B6</f>
        <v>02/01/2023</v>
      </c>
      <c r="C9" s="19">
        <f>'Data Mentah'!H6</f>
        <v>71</v>
      </c>
      <c r="D9" s="20">
        <f t="shared" ref="D9:D40" si="0">$E$4*C9+(1-$E$4)*(D8+E8)</f>
        <v>66.2</v>
      </c>
      <c r="E9" s="20">
        <f t="shared" ref="E9:E40" si="1">$H$4*(D9-D8)+(1-$H$4)*E8</f>
        <v>38.880000000000003</v>
      </c>
      <c r="F9" s="20">
        <f t="shared" ref="F9:F40" si="2">D8+E8</f>
        <v>23</v>
      </c>
      <c r="G9" s="20">
        <f t="shared" ref="G9:G40" si="3">C9-F9</f>
        <v>48</v>
      </c>
      <c r="H9" s="20">
        <f t="shared" ref="H9:H40" si="4">ABS(G9)</f>
        <v>48</v>
      </c>
      <c r="I9" s="21">
        <f t="shared" ref="I9:I40" si="5">G9^2</f>
        <v>2304</v>
      </c>
      <c r="J9" s="21">
        <f t="shared" ref="J9:J40" si="6">ABS(G9/C9)*100</f>
        <v>67.605633802816897</v>
      </c>
    </row>
    <row r="10" spans="1:10" x14ac:dyDescent="0.35">
      <c r="A10" s="6">
        <v>2</v>
      </c>
      <c r="B10" s="19" t="str">
        <f>'Data Mentah'!B7</f>
        <v>09/01/2023</v>
      </c>
      <c r="C10" s="19">
        <f>'Data Mentah'!H7</f>
        <v>76</v>
      </c>
      <c r="D10" s="20">
        <f t="shared" si="0"/>
        <v>78.908000000000001</v>
      </c>
      <c r="E10" s="20">
        <f t="shared" si="1"/>
        <v>15.325199999999999</v>
      </c>
      <c r="F10" s="20">
        <f t="shared" si="2"/>
        <v>105.08000000000001</v>
      </c>
      <c r="G10" s="20">
        <f t="shared" si="3"/>
        <v>-29.080000000000013</v>
      </c>
      <c r="H10" s="20">
        <f t="shared" si="4"/>
        <v>29.080000000000013</v>
      </c>
      <c r="I10" s="21">
        <f t="shared" si="5"/>
        <v>845.64640000000077</v>
      </c>
      <c r="J10" s="21">
        <f t="shared" si="6"/>
        <v>38.263157894736857</v>
      </c>
    </row>
    <row r="11" spans="1:10" x14ac:dyDescent="0.35">
      <c r="A11" s="6">
        <v>3</v>
      </c>
      <c r="B11" s="19" t="str">
        <f>'Data Mentah'!B8</f>
        <v>16/01/2023</v>
      </c>
      <c r="C11" s="19">
        <f>'Data Mentah'!H8</f>
        <v>83</v>
      </c>
      <c r="D11" s="20">
        <f t="shared" si="0"/>
        <v>84.123320000000007</v>
      </c>
      <c r="E11" s="20">
        <f t="shared" si="1"/>
        <v>6.2263080000000048</v>
      </c>
      <c r="F11" s="20">
        <f t="shared" si="2"/>
        <v>94.233199999999997</v>
      </c>
      <c r="G11" s="20">
        <f t="shared" si="3"/>
        <v>-11.233199999999997</v>
      </c>
      <c r="H11" s="20">
        <f t="shared" si="4"/>
        <v>11.233199999999997</v>
      </c>
      <c r="I11" s="21">
        <f t="shared" si="5"/>
        <v>126.18478223999992</v>
      </c>
      <c r="J11" s="21">
        <f t="shared" si="6"/>
        <v>13.533975903614454</v>
      </c>
    </row>
    <row r="12" spans="1:10" x14ac:dyDescent="0.35">
      <c r="A12" s="6">
        <v>4</v>
      </c>
      <c r="B12" s="19" t="str">
        <f>'Data Mentah'!B9</f>
        <v>23/01/2023</v>
      </c>
      <c r="C12" s="19">
        <f>'Data Mentah'!H9</f>
        <v>114</v>
      </c>
      <c r="D12" s="20">
        <f t="shared" si="0"/>
        <v>111.63496280000001</v>
      </c>
      <c r="E12" s="20">
        <f t="shared" si="1"/>
        <v>25.383109320000003</v>
      </c>
      <c r="F12" s="20">
        <f t="shared" si="2"/>
        <v>90.34962800000001</v>
      </c>
      <c r="G12" s="20">
        <f t="shared" si="3"/>
        <v>23.65037199999999</v>
      </c>
      <c r="H12" s="20">
        <f t="shared" si="4"/>
        <v>23.65037199999999</v>
      </c>
      <c r="I12" s="21">
        <f t="shared" si="5"/>
        <v>559.34009573838352</v>
      </c>
      <c r="J12" s="21">
        <f t="shared" si="6"/>
        <v>20.745940350877184</v>
      </c>
    </row>
    <row r="13" spans="1:10" x14ac:dyDescent="0.35">
      <c r="A13" s="6">
        <v>5</v>
      </c>
      <c r="B13" s="19" t="str">
        <f>'Data Mentah'!B10</f>
        <v>30/01/2023</v>
      </c>
      <c r="C13" s="19">
        <f>'Data Mentah'!H10</f>
        <v>123</v>
      </c>
      <c r="D13" s="20">
        <f t="shared" si="0"/>
        <v>124.40180721199999</v>
      </c>
      <c r="E13" s="20">
        <f t="shared" si="1"/>
        <v>14.028470902799985</v>
      </c>
      <c r="F13" s="20">
        <f t="shared" si="2"/>
        <v>137.01807212</v>
      </c>
      <c r="G13" s="20">
        <f t="shared" si="3"/>
        <v>-14.018072119999999</v>
      </c>
      <c r="H13" s="20">
        <f t="shared" si="4"/>
        <v>14.018072119999999</v>
      </c>
      <c r="I13" s="21">
        <f t="shared" si="5"/>
        <v>196.50634596152128</v>
      </c>
      <c r="J13" s="21">
        <f t="shared" si="6"/>
        <v>11.396806601626015</v>
      </c>
    </row>
    <row r="14" spans="1:10" x14ac:dyDescent="0.35">
      <c r="A14" s="6">
        <v>6</v>
      </c>
      <c r="B14" s="19" t="str">
        <f>'Data Mentah'!B11</f>
        <v>06/02/2023</v>
      </c>
      <c r="C14" s="19">
        <f>'Data Mentah'!H11</f>
        <v>128</v>
      </c>
      <c r="D14" s="20">
        <f t="shared" si="0"/>
        <v>129.04302781147999</v>
      </c>
      <c r="E14" s="20">
        <f t="shared" si="1"/>
        <v>5.5799456298119923</v>
      </c>
      <c r="F14" s="20">
        <f t="shared" si="2"/>
        <v>138.43027811479999</v>
      </c>
      <c r="G14" s="20">
        <f t="shared" si="3"/>
        <v>-10.430278114799989</v>
      </c>
      <c r="H14" s="20">
        <f t="shared" si="4"/>
        <v>10.430278114799989</v>
      </c>
      <c r="I14" s="21">
        <f t="shared" si="5"/>
        <v>108.79070155207562</v>
      </c>
      <c r="J14" s="21">
        <f t="shared" si="6"/>
        <v>8.1486547771874918</v>
      </c>
    </row>
    <row r="15" spans="1:10" x14ac:dyDescent="0.35">
      <c r="A15" s="6">
        <v>7</v>
      </c>
      <c r="B15" s="19" t="str">
        <f>'Data Mentah'!B12</f>
        <v>13/02/2023</v>
      </c>
      <c r="C15" s="19">
        <f>'Data Mentah'!H12</f>
        <v>123</v>
      </c>
      <c r="D15" s="20">
        <f t="shared" si="0"/>
        <v>124.1622973441292</v>
      </c>
      <c r="E15" s="20">
        <f t="shared" si="1"/>
        <v>-3.834662857634509</v>
      </c>
      <c r="F15" s="20">
        <f t="shared" si="2"/>
        <v>134.62297344129198</v>
      </c>
      <c r="G15" s="20">
        <f t="shared" si="3"/>
        <v>-11.622973441291975</v>
      </c>
      <c r="H15" s="20">
        <f t="shared" si="4"/>
        <v>11.622973441291975</v>
      </c>
      <c r="I15" s="21">
        <f t="shared" si="5"/>
        <v>135.09351161697862</v>
      </c>
      <c r="J15" s="21">
        <f t="shared" si="6"/>
        <v>9.4495719034894101</v>
      </c>
    </row>
    <row r="16" spans="1:10" x14ac:dyDescent="0.35">
      <c r="A16" s="6">
        <v>8</v>
      </c>
      <c r="B16" s="19" t="str">
        <f>'Data Mentah'!B13</f>
        <v>20/02/2023</v>
      </c>
      <c r="C16" s="19">
        <f>'Data Mentah'!H13</f>
        <v>120</v>
      </c>
      <c r="D16" s="20">
        <f t="shared" si="0"/>
        <v>120.03276344864946</v>
      </c>
      <c r="E16" s="20">
        <f t="shared" si="1"/>
        <v>-4.1000467916952159</v>
      </c>
      <c r="F16" s="20">
        <f t="shared" si="2"/>
        <v>120.32763448649469</v>
      </c>
      <c r="G16" s="20">
        <f t="shared" si="3"/>
        <v>-0.32763448649468785</v>
      </c>
      <c r="H16" s="20">
        <f t="shared" si="4"/>
        <v>0.32763448649468785</v>
      </c>
      <c r="I16" s="21">
        <f t="shared" si="5"/>
        <v>0.10734435674063779</v>
      </c>
      <c r="J16" s="21">
        <f t="shared" si="6"/>
        <v>0.27302873874557321</v>
      </c>
    </row>
    <row r="17" spans="1:10" x14ac:dyDescent="0.35">
      <c r="A17" s="6">
        <v>9</v>
      </c>
      <c r="B17" s="19" t="str">
        <f>'Data Mentah'!B14</f>
        <v>27/02/2023</v>
      </c>
      <c r="C17" s="19">
        <f>'Data Mentah'!H14</f>
        <v>106</v>
      </c>
      <c r="D17" s="20">
        <f t="shared" si="0"/>
        <v>106.99327166569543</v>
      </c>
      <c r="E17" s="20">
        <f t="shared" si="1"/>
        <v>-12.145547283828149</v>
      </c>
      <c r="F17" s="20">
        <f t="shared" si="2"/>
        <v>115.93271665695424</v>
      </c>
      <c r="G17" s="20">
        <f t="shared" si="3"/>
        <v>-9.9327166569542413</v>
      </c>
      <c r="H17" s="20">
        <f t="shared" si="4"/>
        <v>9.9327166569542413</v>
      </c>
      <c r="I17" s="21">
        <f t="shared" si="5"/>
        <v>98.658860187336245</v>
      </c>
      <c r="J17" s="21">
        <f t="shared" si="6"/>
        <v>9.3704874122209816</v>
      </c>
    </row>
    <row r="18" spans="1:10" x14ac:dyDescent="0.35">
      <c r="A18" s="6">
        <v>10</v>
      </c>
      <c r="B18" s="19" t="str">
        <f>'Data Mentah'!B15</f>
        <v>06/03/2023</v>
      </c>
      <c r="C18" s="19">
        <f>'Data Mentah'!H15</f>
        <v>104</v>
      </c>
      <c r="D18" s="20">
        <f t="shared" si="0"/>
        <v>103.08477243818673</v>
      </c>
      <c r="E18" s="20">
        <f t="shared" si="1"/>
        <v>-4.7322040331406434</v>
      </c>
      <c r="F18" s="20">
        <f t="shared" si="2"/>
        <v>94.84772438186728</v>
      </c>
      <c r="G18" s="20">
        <f t="shared" si="3"/>
        <v>9.1522756181327196</v>
      </c>
      <c r="H18" s="20">
        <f t="shared" si="4"/>
        <v>9.1522756181327196</v>
      </c>
      <c r="I18" s="21">
        <f t="shared" si="5"/>
        <v>83.764148990266648</v>
      </c>
      <c r="J18" s="21">
        <f t="shared" si="6"/>
        <v>8.8002650174353079</v>
      </c>
    </row>
    <row r="19" spans="1:10" x14ac:dyDescent="0.35">
      <c r="A19" s="6">
        <v>11</v>
      </c>
      <c r="B19" s="19" t="str">
        <f>'Data Mentah'!B16</f>
        <v>13/03/2023</v>
      </c>
      <c r="C19" s="19">
        <f>'Data Mentah'!H16</f>
        <v>112</v>
      </c>
      <c r="D19" s="20">
        <f t="shared" si="0"/>
        <v>110.63525684050461</v>
      </c>
      <c r="E19" s="20">
        <f t="shared" si="1"/>
        <v>6.3222155587720259</v>
      </c>
      <c r="F19" s="20">
        <f t="shared" si="2"/>
        <v>98.352568405046085</v>
      </c>
      <c r="G19" s="20">
        <f t="shared" si="3"/>
        <v>13.647431594953915</v>
      </c>
      <c r="H19" s="20">
        <f t="shared" si="4"/>
        <v>13.647431594953915</v>
      </c>
      <c r="I19" s="21">
        <f t="shared" si="5"/>
        <v>186.25238913894634</v>
      </c>
      <c r="J19" s="21">
        <f t="shared" si="6"/>
        <v>12.185206781208853</v>
      </c>
    </row>
    <row r="20" spans="1:10" x14ac:dyDescent="0.35">
      <c r="A20" s="6">
        <v>12</v>
      </c>
      <c r="B20" s="19" t="str">
        <f>'Data Mentah'!B17</f>
        <v>20/03/2023</v>
      </c>
      <c r="C20" s="19">
        <f>'Data Mentah'!H17</f>
        <v>102</v>
      </c>
      <c r="D20" s="20">
        <f t="shared" si="0"/>
        <v>103.49574723992765</v>
      </c>
      <c r="E20" s="20">
        <f t="shared" si="1"/>
        <v>-5.7933370846420598</v>
      </c>
      <c r="F20" s="20">
        <f t="shared" si="2"/>
        <v>116.95747239927664</v>
      </c>
      <c r="G20" s="20">
        <f t="shared" si="3"/>
        <v>-14.957472399276639</v>
      </c>
      <c r="H20" s="20">
        <f t="shared" si="4"/>
        <v>14.957472399276639</v>
      </c>
      <c r="I20" s="21">
        <f t="shared" si="5"/>
        <v>223.72598057512246</v>
      </c>
      <c r="J20" s="21">
        <f t="shared" si="6"/>
        <v>14.664188626741803</v>
      </c>
    </row>
    <row r="21" spans="1:10" x14ac:dyDescent="0.35">
      <c r="A21" s="6">
        <v>13</v>
      </c>
      <c r="B21" s="19" t="str">
        <f>'Data Mentah'!B18</f>
        <v>27/03/2023</v>
      </c>
      <c r="C21" s="19">
        <f>'Data Mentah'!H18</f>
        <v>106</v>
      </c>
      <c r="D21" s="20">
        <f t="shared" si="0"/>
        <v>105.17024101552856</v>
      </c>
      <c r="E21" s="20">
        <f t="shared" si="1"/>
        <v>0.9277106895766114</v>
      </c>
      <c r="F21" s="20">
        <f t="shared" si="2"/>
        <v>97.702410155285591</v>
      </c>
      <c r="G21" s="20">
        <f t="shared" si="3"/>
        <v>8.297589844714409</v>
      </c>
      <c r="H21" s="20">
        <f t="shared" si="4"/>
        <v>8.297589844714409</v>
      </c>
      <c r="I21" s="21">
        <f t="shared" si="5"/>
        <v>68.849997231107693</v>
      </c>
      <c r="J21" s="21">
        <f t="shared" si="6"/>
        <v>7.8279149478437819</v>
      </c>
    </row>
    <row r="22" spans="1:10" x14ac:dyDescent="0.35">
      <c r="A22" s="6">
        <v>14</v>
      </c>
      <c r="B22" s="19" t="str">
        <f>'Data Mentah'!B19</f>
        <v>03/04/2023</v>
      </c>
      <c r="C22" s="19">
        <f>'Data Mentah'!H19</f>
        <v>113</v>
      </c>
      <c r="D22" s="20">
        <f t="shared" si="0"/>
        <v>112.30979517051051</v>
      </c>
      <c r="E22" s="20">
        <f t="shared" si="1"/>
        <v>6.5183698084414168</v>
      </c>
      <c r="F22" s="20">
        <f t="shared" si="2"/>
        <v>106.09795170510517</v>
      </c>
      <c r="G22" s="20">
        <f t="shared" si="3"/>
        <v>6.9020482948948256</v>
      </c>
      <c r="H22" s="20">
        <f t="shared" si="4"/>
        <v>6.9020482948948256</v>
      </c>
      <c r="I22" s="21">
        <f t="shared" si="5"/>
        <v>47.638270665060567</v>
      </c>
      <c r="J22" s="21">
        <f t="shared" si="6"/>
        <v>6.1080073406148898</v>
      </c>
    </row>
    <row r="23" spans="1:10" x14ac:dyDescent="0.35">
      <c r="A23" s="6">
        <v>15</v>
      </c>
      <c r="B23" s="19" t="str">
        <f>'Data Mentah'!B20</f>
        <v>10/04/2023</v>
      </c>
      <c r="C23" s="19">
        <f>'Data Mentah'!H20</f>
        <v>114</v>
      </c>
      <c r="D23" s="20">
        <f t="shared" si="0"/>
        <v>114.4828164978952</v>
      </c>
      <c r="E23" s="20">
        <f t="shared" si="1"/>
        <v>2.6075561754903616</v>
      </c>
      <c r="F23" s="20">
        <f t="shared" si="2"/>
        <v>118.82816497895193</v>
      </c>
      <c r="G23" s="20">
        <f t="shared" si="3"/>
        <v>-4.8281649789519321</v>
      </c>
      <c r="H23" s="20">
        <f t="shared" si="4"/>
        <v>4.8281649789519321</v>
      </c>
      <c r="I23" s="21">
        <f t="shared" si="5"/>
        <v>23.311177063977912</v>
      </c>
      <c r="J23" s="21">
        <f t="shared" si="6"/>
        <v>4.2352324376771335</v>
      </c>
    </row>
    <row r="24" spans="1:10" x14ac:dyDescent="0.35">
      <c r="A24" s="6">
        <v>16</v>
      </c>
      <c r="B24" s="19" t="str">
        <f>'Data Mentah'!B21</f>
        <v>17/04/2023</v>
      </c>
      <c r="C24" s="19">
        <f>'Data Mentah'!H21</f>
        <v>116</v>
      </c>
      <c r="D24" s="20">
        <f t="shared" si="0"/>
        <v>116.10903726733856</v>
      </c>
      <c r="E24" s="20">
        <f t="shared" si="1"/>
        <v>1.7243543100480641</v>
      </c>
      <c r="F24" s="20">
        <f t="shared" si="2"/>
        <v>117.09037267338556</v>
      </c>
      <c r="G24" s="20">
        <f t="shared" si="3"/>
        <v>-1.0903726733855592</v>
      </c>
      <c r="H24" s="20">
        <f t="shared" si="4"/>
        <v>1.0903726733855592</v>
      </c>
      <c r="I24" s="21">
        <f t="shared" si="5"/>
        <v>1.1889125668659715</v>
      </c>
      <c r="J24" s="21">
        <f t="shared" si="6"/>
        <v>0.9399764425737579</v>
      </c>
    </row>
    <row r="25" spans="1:10" x14ac:dyDescent="0.35">
      <c r="A25" s="6">
        <v>17</v>
      </c>
      <c r="B25" s="19" t="str">
        <f>'Data Mentah'!B22</f>
        <v>24/04/2023</v>
      </c>
      <c r="C25" s="19">
        <f>'Data Mentah'!H22</f>
        <v>113</v>
      </c>
      <c r="D25" s="20">
        <f t="shared" si="0"/>
        <v>113.48333915773867</v>
      </c>
      <c r="E25" s="20">
        <f t="shared" si="1"/>
        <v>-2.1906928676350996</v>
      </c>
      <c r="F25" s="20">
        <f t="shared" si="2"/>
        <v>117.83339157738664</v>
      </c>
      <c r="G25" s="20">
        <f t="shared" si="3"/>
        <v>-4.8333915773866352</v>
      </c>
      <c r="H25" s="20">
        <f t="shared" si="4"/>
        <v>4.8333915773866352</v>
      </c>
      <c r="I25" s="21">
        <f t="shared" si="5"/>
        <v>23.361674140352065</v>
      </c>
      <c r="J25" s="21">
        <f t="shared" si="6"/>
        <v>4.2773376791032174</v>
      </c>
    </row>
    <row r="26" spans="1:10" x14ac:dyDescent="0.35">
      <c r="A26" s="6">
        <v>18</v>
      </c>
      <c r="B26" s="19" t="str">
        <f>'Data Mentah'!B23</f>
        <v>01/05/2023</v>
      </c>
      <c r="C26" s="19">
        <f>'Data Mentah'!H23</f>
        <v>114</v>
      </c>
      <c r="D26" s="20">
        <f t="shared" si="0"/>
        <v>113.72926462901036</v>
      </c>
      <c r="E26" s="20">
        <f t="shared" si="1"/>
        <v>2.26363738101093E-3</v>
      </c>
      <c r="F26" s="20">
        <f t="shared" si="2"/>
        <v>111.29264629010358</v>
      </c>
      <c r="G26" s="20">
        <f t="shared" si="3"/>
        <v>2.7073537098964238</v>
      </c>
      <c r="H26" s="20">
        <f t="shared" si="4"/>
        <v>2.7073537098964238</v>
      </c>
      <c r="I26" s="21">
        <f t="shared" si="5"/>
        <v>7.3297641104899292</v>
      </c>
      <c r="J26" s="21">
        <f t="shared" si="6"/>
        <v>2.3748716753477401</v>
      </c>
    </row>
    <row r="27" spans="1:10" x14ac:dyDescent="0.35">
      <c r="A27" s="6">
        <v>19</v>
      </c>
      <c r="B27" s="19" t="str">
        <f>'Data Mentah'!B24</f>
        <v>08/05/2023</v>
      </c>
      <c r="C27" s="19">
        <f>'Data Mentah'!H24</f>
        <v>110</v>
      </c>
      <c r="D27" s="20">
        <f t="shared" si="0"/>
        <v>110.37315282663913</v>
      </c>
      <c r="E27" s="20">
        <f t="shared" si="1"/>
        <v>-3.0202742583960069</v>
      </c>
      <c r="F27" s="20">
        <f t="shared" si="2"/>
        <v>113.73152826639136</v>
      </c>
      <c r="G27" s="20">
        <f t="shared" si="3"/>
        <v>-3.7315282663913649</v>
      </c>
      <c r="H27" s="20">
        <f t="shared" si="4"/>
        <v>3.7315282663913649</v>
      </c>
      <c r="I27" s="21">
        <f t="shared" si="5"/>
        <v>13.924303202877745</v>
      </c>
      <c r="J27" s="21">
        <f t="shared" si="6"/>
        <v>3.3922984239921501</v>
      </c>
    </row>
    <row r="28" spans="1:10" x14ac:dyDescent="0.35">
      <c r="A28" s="6">
        <v>20</v>
      </c>
      <c r="B28" s="19" t="str">
        <f>'Data Mentah'!B25</f>
        <v>15/05/2023</v>
      </c>
      <c r="C28" s="19">
        <f>'Data Mentah'!H25</f>
        <v>119</v>
      </c>
      <c r="D28" s="20">
        <f t="shared" si="0"/>
        <v>117.83528785682432</v>
      </c>
      <c r="E28" s="20">
        <f t="shared" si="1"/>
        <v>6.4138941013270747</v>
      </c>
      <c r="F28" s="20">
        <f t="shared" si="2"/>
        <v>107.35287856824313</v>
      </c>
      <c r="G28" s="20">
        <f t="shared" si="3"/>
        <v>11.647121431756872</v>
      </c>
      <c r="H28" s="20">
        <f t="shared" si="4"/>
        <v>11.647121431756872</v>
      </c>
      <c r="I28" s="21">
        <f t="shared" si="5"/>
        <v>135.65543764609026</v>
      </c>
      <c r="J28" s="21">
        <f t="shared" si="6"/>
        <v>9.7874970014763623</v>
      </c>
    </row>
    <row r="29" spans="1:10" x14ac:dyDescent="0.35">
      <c r="A29" s="6">
        <v>21</v>
      </c>
      <c r="B29" s="19" t="str">
        <f>'Data Mentah'!B26</f>
        <v>22/05/2023</v>
      </c>
      <c r="C29" s="19">
        <f>'Data Mentah'!H26</f>
        <v>123</v>
      </c>
      <c r="D29" s="20">
        <f t="shared" si="0"/>
        <v>123.12491819581514</v>
      </c>
      <c r="E29" s="20">
        <f t="shared" si="1"/>
        <v>5.4020567152244441</v>
      </c>
      <c r="F29" s="20">
        <f t="shared" si="2"/>
        <v>124.2491819581514</v>
      </c>
      <c r="G29" s="20">
        <f t="shared" si="3"/>
        <v>-1.2491819581513965</v>
      </c>
      <c r="H29" s="20">
        <f t="shared" si="4"/>
        <v>1.2491819581513965</v>
      </c>
      <c r="I29" s="21">
        <f t="shared" si="5"/>
        <v>1.5604555645709575</v>
      </c>
      <c r="J29" s="21">
        <f t="shared" si="6"/>
        <v>1.0155950879279647</v>
      </c>
    </row>
    <row r="30" spans="1:10" x14ac:dyDescent="0.35">
      <c r="A30" s="6">
        <v>22</v>
      </c>
      <c r="B30" s="19" t="str">
        <f>'Data Mentah'!B27</f>
        <v>29/05/2023</v>
      </c>
      <c r="C30" s="19">
        <f>'Data Mentah'!H27</f>
        <v>117</v>
      </c>
      <c r="D30" s="20">
        <f t="shared" si="0"/>
        <v>118.15269749110395</v>
      </c>
      <c r="E30" s="20">
        <f t="shared" si="1"/>
        <v>-3.9347929627176281</v>
      </c>
      <c r="F30" s="20">
        <f t="shared" si="2"/>
        <v>128.52697491103959</v>
      </c>
      <c r="G30" s="20">
        <f t="shared" si="3"/>
        <v>-11.526974911039588</v>
      </c>
      <c r="H30" s="20">
        <f t="shared" si="4"/>
        <v>11.526974911039588</v>
      </c>
      <c r="I30" s="21">
        <f t="shared" si="5"/>
        <v>132.87115059973613</v>
      </c>
      <c r="J30" s="21">
        <f t="shared" si="6"/>
        <v>9.8521153085808439</v>
      </c>
    </row>
    <row r="31" spans="1:10" x14ac:dyDescent="0.35">
      <c r="A31" s="6">
        <v>23</v>
      </c>
      <c r="B31" s="19" t="str">
        <f>'Data Mentah'!B28</f>
        <v>05/06/2023</v>
      </c>
      <c r="C31" s="19">
        <f>'Data Mentah'!H28</f>
        <v>117</v>
      </c>
      <c r="D31" s="20">
        <f t="shared" si="0"/>
        <v>116.72179045283863</v>
      </c>
      <c r="E31" s="20">
        <f t="shared" si="1"/>
        <v>-1.6812956307105487</v>
      </c>
      <c r="F31" s="20">
        <f t="shared" si="2"/>
        <v>114.21790452838633</v>
      </c>
      <c r="G31" s="20">
        <f t="shared" si="3"/>
        <v>2.7820954716136725</v>
      </c>
      <c r="H31" s="20">
        <f t="shared" si="4"/>
        <v>2.7820954716136725</v>
      </c>
      <c r="I31" s="21">
        <f t="shared" si="5"/>
        <v>7.7400552131733029</v>
      </c>
      <c r="J31" s="21">
        <f t="shared" si="6"/>
        <v>2.3778593774475834</v>
      </c>
    </row>
    <row r="32" spans="1:10" x14ac:dyDescent="0.35">
      <c r="A32" s="6">
        <v>24</v>
      </c>
      <c r="B32" s="19" t="str">
        <f>'Data Mentah'!B29</f>
        <v>12/06/2023</v>
      </c>
      <c r="C32" s="19">
        <f>'Data Mentah'!H29</f>
        <v>108</v>
      </c>
      <c r="D32" s="20">
        <f t="shared" si="0"/>
        <v>108.70404948221281</v>
      </c>
      <c r="E32" s="20">
        <f t="shared" si="1"/>
        <v>-7.3840964366342963</v>
      </c>
      <c r="F32" s="20">
        <f t="shared" si="2"/>
        <v>115.04049482212808</v>
      </c>
      <c r="G32" s="20">
        <f t="shared" si="3"/>
        <v>-7.0404948221280819</v>
      </c>
      <c r="H32" s="20">
        <f t="shared" si="4"/>
        <v>7.0404948221280819</v>
      </c>
      <c r="I32" s="21">
        <f t="shared" si="5"/>
        <v>49.568567340412329</v>
      </c>
      <c r="J32" s="21">
        <f t="shared" si="6"/>
        <v>6.5189766871556305</v>
      </c>
    </row>
    <row r="33" spans="1:10" x14ac:dyDescent="0.35">
      <c r="A33" s="6">
        <v>25</v>
      </c>
      <c r="B33" s="19" t="str">
        <f>'Data Mentah'!B30</f>
        <v>19/06/2023</v>
      </c>
      <c r="C33" s="19">
        <f>'Data Mentah'!H30</f>
        <v>118</v>
      </c>
      <c r="D33" s="20">
        <f t="shared" si="0"/>
        <v>116.33199530455785</v>
      </c>
      <c r="E33" s="20">
        <f t="shared" si="1"/>
        <v>6.1267415964471077</v>
      </c>
      <c r="F33" s="20">
        <f t="shared" si="2"/>
        <v>101.31995304557852</v>
      </c>
      <c r="G33" s="20">
        <f t="shared" si="3"/>
        <v>16.680046954421485</v>
      </c>
      <c r="H33" s="20">
        <f t="shared" si="4"/>
        <v>16.680046954421485</v>
      </c>
      <c r="I33" s="21">
        <f t="shared" si="5"/>
        <v>278.22396640170547</v>
      </c>
      <c r="J33" s="21">
        <f t="shared" si="6"/>
        <v>14.135633012221597</v>
      </c>
    </row>
    <row r="34" spans="1:10" x14ac:dyDescent="0.35">
      <c r="A34" s="6">
        <v>26</v>
      </c>
      <c r="B34" s="19" t="str">
        <f>'Data Mentah'!B31</f>
        <v>26/06/2023</v>
      </c>
      <c r="C34" s="19">
        <f>'Data Mentah'!H31</f>
        <v>118</v>
      </c>
      <c r="D34" s="20">
        <f t="shared" si="0"/>
        <v>118.4458736901005</v>
      </c>
      <c r="E34" s="20">
        <f t="shared" si="1"/>
        <v>2.5151647066330942</v>
      </c>
      <c r="F34" s="20">
        <f t="shared" si="2"/>
        <v>122.45873690100495</v>
      </c>
      <c r="G34" s="20">
        <f t="shared" si="3"/>
        <v>-4.4587369010049542</v>
      </c>
      <c r="H34" s="20">
        <f t="shared" si="4"/>
        <v>4.4587369010049542</v>
      </c>
      <c r="I34" s="21">
        <f t="shared" si="5"/>
        <v>19.880334752383263</v>
      </c>
      <c r="J34" s="21">
        <f t="shared" si="6"/>
        <v>3.7785905940719946</v>
      </c>
    </row>
    <row r="35" spans="1:10" x14ac:dyDescent="0.35">
      <c r="A35" s="6">
        <v>27</v>
      </c>
      <c r="B35" s="19" t="str">
        <f>'Data Mentah'!B32</f>
        <v>03/07/2023</v>
      </c>
      <c r="C35" s="19">
        <f>'Data Mentah'!H32</f>
        <v>122</v>
      </c>
      <c r="D35" s="20">
        <f t="shared" si="0"/>
        <v>121.89610383967336</v>
      </c>
      <c r="E35" s="20">
        <f t="shared" si="1"/>
        <v>3.3567236052788836</v>
      </c>
      <c r="F35" s="20">
        <f t="shared" si="2"/>
        <v>120.9610383967336</v>
      </c>
      <c r="G35" s="20">
        <f t="shared" si="3"/>
        <v>1.0389616032664009</v>
      </c>
      <c r="H35" s="20">
        <f t="shared" si="4"/>
        <v>1.0389616032664009</v>
      </c>
      <c r="I35" s="21">
        <f t="shared" si="5"/>
        <v>1.0794412130618902</v>
      </c>
      <c r="J35" s="21">
        <f t="shared" si="6"/>
        <v>0.85160787152983675</v>
      </c>
    </row>
    <row r="36" spans="1:10" x14ac:dyDescent="0.35">
      <c r="A36" s="6">
        <v>28</v>
      </c>
      <c r="B36" s="19" t="str">
        <f>'Data Mentah'!B33</f>
        <v>10/07/2023</v>
      </c>
      <c r="C36" s="19">
        <f>'Data Mentah'!H33</f>
        <v>129</v>
      </c>
      <c r="D36" s="20">
        <f t="shared" si="0"/>
        <v>128.62528274449522</v>
      </c>
      <c r="E36" s="20">
        <f t="shared" si="1"/>
        <v>6.3919333748675662</v>
      </c>
      <c r="F36" s="20">
        <f t="shared" si="2"/>
        <v>125.25282744495225</v>
      </c>
      <c r="G36" s="20">
        <f t="shared" si="3"/>
        <v>3.7471725550477544</v>
      </c>
      <c r="H36" s="20">
        <f t="shared" si="4"/>
        <v>3.7471725550477544</v>
      </c>
      <c r="I36" s="21">
        <f t="shared" si="5"/>
        <v>14.041302157303116</v>
      </c>
      <c r="J36" s="21">
        <f t="shared" si="6"/>
        <v>2.9047849263936083</v>
      </c>
    </row>
    <row r="37" spans="1:10" x14ac:dyDescent="0.35">
      <c r="A37" s="6">
        <v>29</v>
      </c>
      <c r="B37" s="19" t="str">
        <f>'Data Mentah'!B34</f>
        <v>17/07/2023</v>
      </c>
      <c r="C37" s="19">
        <f>'Data Mentah'!H34</f>
        <v>123</v>
      </c>
      <c r="D37" s="20">
        <f t="shared" si="0"/>
        <v>124.20172161193628</v>
      </c>
      <c r="E37" s="20">
        <f t="shared" si="1"/>
        <v>-3.3420116818162939</v>
      </c>
      <c r="F37" s="20">
        <f t="shared" si="2"/>
        <v>135.01721611936279</v>
      </c>
      <c r="G37" s="20">
        <f t="shared" si="3"/>
        <v>-12.017216119362786</v>
      </c>
      <c r="H37" s="20">
        <f t="shared" si="4"/>
        <v>12.017216119362786</v>
      </c>
      <c r="I37" s="21">
        <f t="shared" si="5"/>
        <v>144.41348325947277</v>
      </c>
      <c r="J37" s="21">
        <f t="shared" si="6"/>
        <v>9.7700944059860042</v>
      </c>
    </row>
    <row r="38" spans="1:10" x14ac:dyDescent="0.35">
      <c r="A38" s="6">
        <v>30</v>
      </c>
      <c r="B38" s="19" t="str">
        <f>'Data Mentah'!B35</f>
        <v>24/07/2023</v>
      </c>
      <c r="C38" s="19">
        <f>'Data Mentah'!H35</f>
        <v>129</v>
      </c>
      <c r="D38" s="20">
        <f t="shared" si="0"/>
        <v>128.18597099301201</v>
      </c>
      <c r="E38" s="20">
        <f t="shared" si="1"/>
        <v>3.2516232747865255</v>
      </c>
      <c r="F38" s="20">
        <f t="shared" si="2"/>
        <v>120.85970993011999</v>
      </c>
      <c r="G38" s="20">
        <f t="shared" si="3"/>
        <v>8.1402900698800096</v>
      </c>
      <c r="H38" s="20">
        <f t="shared" si="4"/>
        <v>8.1402900698800096</v>
      </c>
      <c r="I38" s="21">
        <f t="shared" si="5"/>
        <v>66.264322421787085</v>
      </c>
      <c r="J38" s="21">
        <f t="shared" si="6"/>
        <v>6.3103023797519446</v>
      </c>
    </row>
    <row r="39" spans="1:10" x14ac:dyDescent="0.35">
      <c r="A39" s="6">
        <v>31</v>
      </c>
      <c r="B39" s="19" t="str">
        <f>'Data Mentah'!B36</f>
        <v>31/07/2023</v>
      </c>
      <c r="C39" s="19">
        <f>'Data Mentah'!H36</f>
        <v>128</v>
      </c>
      <c r="D39" s="20">
        <f t="shared" si="0"/>
        <v>128.34375942677985</v>
      </c>
      <c r="E39" s="20">
        <f t="shared" si="1"/>
        <v>0.46717191786971601</v>
      </c>
      <c r="F39" s="20">
        <f t="shared" si="2"/>
        <v>131.43759426779854</v>
      </c>
      <c r="G39" s="20">
        <f t="shared" si="3"/>
        <v>-3.4375942677985449</v>
      </c>
      <c r="H39" s="20">
        <f t="shared" si="4"/>
        <v>3.4375942677985449</v>
      </c>
      <c r="I39" s="21">
        <f t="shared" si="5"/>
        <v>11.817054350001415</v>
      </c>
      <c r="J39" s="21">
        <f t="shared" si="6"/>
        <v>2.6856205217176132</v>
      </c>
    </row>
    <row r="40" spans="1:10" x14ac:dyDescent="0.35">
      <c r="A40" s="6">
        <v>32</v>
      </c>
      <c r="B40" s="19" t="str">
        <f>'Data Mentah'!B37</f>
        <v>07/08/2023</v>
      </c>
      <c r="C40" s="19">
        <f>'Data Mentah'!H37</f>
        <v>133</v>
      </c>
      <c r="D40" s="20">
        <f t="shared" si="0"/>
        <v>132.58109313446496</v>
      </c>
      <c r="E40" s="20">
        <f t="shared" si="1"/>
        <v>3.8603175287035709</v>
      </c>
      <c r="F40" s="20">
        <f t="shared" si="2"/>
        <v>128.81093134464956</v>
      </c>
      <c r="G40" s="20">
        <f t="shared" si="3"/>
        <v>4.1890686553504395</v>
      </c>
      <c r="H40" s="20">
        <f t="shared" si="4"/>
        <v>4.1890686553504395</v>
      </c>
      <c r="I40" s="21">
        <f t="shared" si="5"/>
        <v>17.548296199239537</v>
      </c>
      <c r="J40" s="21">
        <f t="shared" si="6"/>
        <v>3.1496756807146165</v>
      </c>
    </row>
    <row r="41" spans="1:10" x14ac:dyDescent="0.35">
      <c r="A41" s="6">
        <v>33</v>
      </c>
      <c r="B41" s="19" t="str">
        <f>'Data Mentah'!B38</f>
        <v>14/08/2023</v>
      </c>
      <c r="C41" s="19">
        <f>'Data Mentah'!H38</f>
        <v>134</v>
      </c>
      <c r="D41" s="20">
        <f t="shared" ref="D41:D72" si="7">$E$4*C41+(1-$E$4)*(D40+E40)</f>
        <v>134.24414106631687</v>
      </c>
      <c r="E41" s="20">
        <f t="shared" ref="E41:E72" si="8">$H$4*(D41-D40)+(1-$H$4)*E40</f>
        <v>1.8827748915370728</v>
      </c>
      <c r="F41" s="20">
        <f t="shared" ref="F41:F72" si="9">D40+E40</f>
        <v>136.44141066316854</v>
      </c>
      <c r="G41" s="20">
        <f t="shared" ref="G41:G72" si="10">C41-F41</f>
        <v>-2.4414106631685399</v>
      </c>
      <c r="H41" s="20">
        <f t="shared" ref="H41:H72" si="11">ABS(G41)</f>
        <v>2.4414106631685399</v>
      </c>
      <c r="I41" s="21">
        <f t="shared" ref="I41:I72" si="12">G41^2</f>
        <v>5.9604860262330499</v>
      </c>
      <c r="J41" s="21">
        <f t="shared" ref="J41:J72" si="13">ABS(G41/C41)*100</f>
        <v>1.8219482560959253</v>
      </c>
    </row>
    <row r="42" spans="1:10" x14ac:dyDescent="0.35">
      <c r="A42" s="6">
        <v>34</v>
      </c>
      <c r="B42" s="19" t="str">
        <f>'Data Mentah'!B39</f>
        <v>21/08/2023</v>
      </c>
      <c r="C42" s="19">
        <f>'Data Mentah'!H39</f>
        <v>127</v>
      </c>
      <c r="D42" s="20">
        <f t="shared" si="7"/>
        <v>127.91269159578539</v>
      </c>
      <c r="E42" s="20">
        <f t="shared" si="8"/>
        <v>-5.5100270343246267</v>
      </c>
      <c r="F42" s="20">
        <f t="shared" si="9"/>
        <v>136.12691595785395</v>
      </c>
      <c r="G42" s="20">
        <f t="shared" si="10"/>
        <v>-9.1269159578539529</v>
      </c>
      <c r="H42" s="20">
        <f t="shared" si="11"/>
        <v>9.1269159578539529</v>
      </c>
      <c r="I42" s="21">
        <f t="shared" si="12"/>
        <v>83.300594901729141</v>
      </c>
      <c r="J42" s="21">
        <f t="shared" si="13"/>
        <v>7.1865479983101981</v>
      </c>
    </row>
    <row r="43" spans="1:10" x14ac:dyDescent="0.35">
      <c r="A43" s="6">
        <v>35</v>
      </c>
      <c r="B43" s="19" t="str">
        <f>'Data Mentah'!B40</f>
        <v>28/08/2023</v>
      </c>
      <c r="C43" s="19">
        <f>'Data Mentah'!H40</f>
        <v>127</v>
      </c>
      <c r="D43" s="20">
        <f t="shared" si="7"/>
        <v>126.54026645614607</v>
      </c>
      <c r="E43" s="20">
        <f t="shared" si="8"/>
        <v>-1.7861853291078493</v>
      </c>
      <c r="F43" s="20">
        <f t="shared" si="9"/>
        <v>122.40266456146077</v>
      </c>
      <c r="G43" s="20">
        <f t="shared" si="10"/>
        <v>4.5973354385392327</v>
      </c>
      <c r="H43" s="20">
        <f t="shared" si="11"/>
        <v>4.5973354385392327</v>
      </c>
      <c r="I43" s="21">
        <f t="shared" si="12"/>
        <v>21.135493134448719</v>
      </c>
      <c r="J43" s="21">
        <f t="shared" si="13"/>
        <v>3.6199491642041206</v>
      </c>
    </row>
    <row r="44" spans="1:10" x14ac:dyDescent="0.35">
      <c r="A44" s="6">
        <v>36</v>
      </c>
      <c r="B44" s="19" t="str">
        <f>'Data Mentah'!B41</f>
        <v>04/09/2023</v>
      </c>
      <c r="C44" s="19">
        <f>'Data Mentah'!H41</f>
        <v>116</v>
      </c>
      <c r="D44" s="20">
        <f t="shared" si="7"/>
        <v>116.87540811270382</v>
      </c>
      <c r="E44" s="20">
        <f t="shared" si="8"/>
        <v>-8.8769910420088074</v>
      </c>
      <c r="F44" s="20">
        <f t="shared" si="9"/>
        <v>124.75408112703822</v>
      </c>
      <c r="G44" s="20">
        <f t="shared" si="10"/>
        <v>-8.7540811270382193</v>
      </c>
      <c r="H44" s="20">
        <f t="shared" si="11"/>
        <v>8.7540811270382193</v>
      </c>
      <c r="I44" s="21">
        <f t="shared" si="12"/>
        <v>76.633936378766734</v>
      </c>
      <c r="J44" s="21">
        <f t="shared" si="13"/>
        <v>7.5466216612398442</v>
      </c>
    </row>
    <row r="45" spans="1:10" x14ac:dyDescent="0.35">
      <c r="A45" s="6">
        <v>37</v>
      </c>
      <c r="B45" s="19" t="str">
        <f>'Data Mentah'!B42</f>
        <v>11/09/2023</v>
      </c>
      <c r="C45" s="19">
        <f>'Data Mentah'!H42</f>
        <v>118</v>
      </c>
      <c r="D45" s="20">
        <f t="shared" si="7"/>
        <v>116.99984170706951</v>
      </c>
      <c r="E45" s="20">
        <f t="shared" si="8"/>
        <v>-0.7757088692717653</v>
      </c>
      <c r="F45" s="20">
        <f t="shared" si="9"/>
        <v>107.99841707069501</v>
      </c>
      <c r="G45" s="20">
        <f t="shared" si="10"/>
        <v>10.001582929304988</v>
      </c>
      <c r="H45" s="20">
        <f t="shared" si="11"/>
        <v>10.001582929304988</v>
      </c>
      <c r="I45" s="21">
        <f t="shared" si="12"/>
        <v>100.03166109176493</v>
      </c>
      <c r="J45" s="21">
        <f t="shared" si="13"/>
        <v>8.4759177366991416</v>
      </c>
    </row>
    <row r="46" spans="1:10" x14ac:dyDescent="0.35">
      <c r="A46" s="6">
        <v>38</v>
      </c>
      <c r="B46" s="19" t="str">
        <f>'Data Mentah'!B43</f>
        <v>18/09/2023</v>
      </c>
      <c r="C46" s="19">
        <f>'Data Mentah'!H43</f>
        <v>119</v>
      </c>
      <c r="D46" s="20">
        <f t="shared" si="7"/>
        <v>118.72241328377979</v>
      </c>
      <c r="E46" s="20">
        <f t="shared" si="8"/>
        <v>1.4727435321120754</v>
      </c>
      <c r="F46" s="20">
        <f t="shared" si="9"/>
        <v>116.22413283779774</v>
      </c>
      <c r="G46" s="20">
        <f t="shared" si="10"/>
        <v>2.7758671622022604</v>
      </c>
      <c r="H46" s="20">
        <f t="shared" si="11"/>
        <v>2.7758671622022604</v>
      </c>
      <c r="I46" s="21">
        <f t="shared" si="12"/>
        <v>7.7054385021928304</v>
      </c>
      <c r="J46" s="21">
        <f t="shared" si="13"/>
        <v>2.3326614808422357</v>
      </c>
    </row>
    <row r="47" spans="1:10" x14ac:dyDescent="0.35">
      <c r="A47" s="6">
        <v>39</v>
      </c>
      <c r="B47" s="19" t="str">
        <f>'Data Mentah'!B44</f>
        <v>25/09/2023</v>
      </c>
      <c r="C47" s="19">
        <f>'Data Mentah'!H44</f>
        <v>124</v>
      </c>
      <c r="D47" s="20">
        <f t="shared" si="7"/>
        <v>123.61951568158919</v>
      </c>
      <c r="E47" s="20">
        <f t="shared" si="8"/>
        <v>4.554666511239672</v>
      </c>
      <c r="F47" s="20">
        <f t="shared" si="9"/>
        <v>120.19515681589186</v>
      </c>
      <c r="G47" s="20">
        <f t="shared" si="10"/>
        <v>3.8048431841081367</v>
      </c>
      <c r="H47" s="20">
        <f t="shared" si="11"/>
        <v>3.8048431841081367</v>
      </c>
      <c r="I47" s="21">
        <f t="shared" si="12"/>
        <v>14.476831655654145</v>
      </c>
      <c r="J47" s="21">
        <f t="shared" si="13"/>
        <v>3.0684219226678522</v>
      </c>
    </row>
    <row r="48" spans="1:10" x14ac:dyDescent="0.35">
      <c r="A48" s="6">
        <v>40</v>
      </c>
      <c r="B48" s="19" t="str">
        <f>'Data Mentah'!B45</f>
        <v>02/10/2023</v>
      </c>
      <c r="C48" s="19">
        <f>'Data Mentah'!H45</f>
        <v>121</v>
      </c>
      <c r="D48" s="20">
        <f t="shared" si="7"/>
        <v>121.71741821928289</v>
      </c>
      <c r="E48" s="20">
        <f t="shared" si="8"/>
        <v>-1.256421064951704</v>
      </c>
      <c r="F48" s="20">
        <f t="shared" si="9"/>
        <v>128.17418219282885</v>
      </c>
      <c r="G48" s="20">
        <f t="shared" si="10"/>
        <v>-7.1741821928288516</v>
      </c>
      <c r="H48" s="20">
        <f t="shared" si="11"/>
        <v>7.1741821928288516</v>
      </c>
      <c r="I48" s="21">
        <f t="shared" si="12"/>
        <v>51.468890135902591</v>
      </c>
      <c r="J48" s="21">
        <f t="shared" si="13"/>
        <v>5.9290761924205384</v>
      </c>
    </row>
    <row r="49" spans="1:10" x14ac:dyDescent="0.35">
      <c r="A49" s="6">
        <v>41</v>
      </c>
      <c r="B49" s="19" t="str">
        <f>'Data Mentah'!B46</f>
        <v>09/10/2023</v>
      </c>
      <c r="C49" s="19">
        <f>'Data Mentah'!H46</f>
        <v>107</v>
      </c>
      <c r="D49" s="20">
        <f t="shared" si="7"/>
        <v>108.34609971543311</v>
      </c>
      <c r="E49" s="20">
        <f t="shared" si="8"/>
        <v>-12.159828759959971</v>
      </c>
      <c r="F49" s="20">
        <f t="shared" si="9"/>
        <v>120.46099715433118</v>
      </c>
      <c r="G49" s="20">
        <f t="shared" si="10"/>
        <v>-13.460997154331181</v>
      </c>
      <c r="H49" s="20">
        <f t="shared" si="11"/>
        <v>13.460997154331181</v>
      </c>
      <c r="I49" s="21">
        <f t="shared" si="12"/>
        <v>181.19844438891218</v>
      </c>
      <c r="J49" s="21">
        <f t="shared" si="13"/>
        <v>12.58037117227213</v>
      </c>
    </row>
    <row r="50" spans="1:10" x14ac:dyDescent="0.35">
      <c r="A50" s="6">
        <v>42</v>
      </c>
      <c r="B50" s="19" t="str">
        <f>'Data Mentah'!B47</f>
        <v>16/10/2023</v>
      </c>
      <c r="C50" s="19">
        <f>'Data Mentah'!H47</f>
        <v>99</v>
      </c>
      <c r="D50" s="20">
        <f t="shared" si="7"/>
        <v>98.718627095547319</v>
      </c>
      <c r="E50" s="20">
        <f t="shared" si="8"/>
        <v>-9.8807082338932126</v>
      </c>
      <c r="F50" s="20">
        <f t="shared" si="9"/>
        <v>96.186270955473134</v>
      </c>
      <c r="G50" s="20">
        <f t="shared" si="10"/>
        <v>2.8137290445268661</v>
      </c>
      <c r="H50" s="20">
        <f t="shared" si="11"/>
        <v>2.8137290445268661</v>
      </c>
      <c r="I50" s="21">
        <f t="shared" si="12"/>
        <v>7.9170711360140711</v>
      </c>
      <c r="J50" s="21">
        <f t="shared" si="13"/>
        <v>2.8421505500271378</v>
      </c>
    </row>
    <row r="51" spans="1:10" x14ac:dyDescent="0.35">
      <c r="A51" s="6">
        <v>43</v>
      </c>
      <c r="B51" s="19" t="str">
        <f>'Data Mentah'!B48</f>
        <v>23/10/2023</v>
      </c>
      <c r="C51" s="19">
        <f>'Data Mentah'!H48</f>
        <v>86</v>
      </c>
      <c r="D51" s="20">
        <f t="shared" si="7"/>
        <v>86.283791886165417</v>
      </c>
      <c r="E51" s="20">
        <f t="shared" si="8"/>
        <v>-12.179422511833033</v>
      </c>
      <c r="F51" s="20">
        <f t="shared" si="9"/>
        <v>88.837918861654103</v>
      </c>
      <c r="G51" s="20">
        <f t="shared" si="10"/>
        <v>-2.8379188616541029</v>
      </c>
      <c r="H51" s="20">
        <f t="shared" si="11"/>
        <v>2.8379188616541029</v>
      </c>
      <c r="I51" s="21">
        <f t="shared" si="12"/>
        <v>8.0537834653321188</v>
      </c>
      <c r="J51" s="21">
        <f t="shared" si="13"/>
        <v>3.2999056530861659</v>
      </c>
    </row>
    <row r="52" spans="1:10" x14ac:dyDescent="0.35">
      <c r="A52" s="6">
        <v>44</v>
      </c>
      <c r="B52" s="19" t="str">
        <f>'Data Mentah'!B49</f>
        <v>30/10/2023</v>
      </c>
      <c r="C52" s="19">
        <f>'Data Mentah'!H49</f>
        <v>81</v>
      </c>
      <c r="D52" s="20">
        <f t="shared" si="7"/>
        <v>80.310436937433238</v>
      </c>
      <c r="E52" s="20">
        <f t="shared" si="8"/>
        <v>-6.5939617050422648</v>
      </c>
      <c r="F52" s="20">
        <f t="shared" si="9"/>
        <v>74.104369374332379</v>
      </c>
      <c r="G52" s="20">
        <f t="shared" si="10"/>
        <v>6.8956306256676214</v>
      </c>
      <c r="H52" s="20">
        <f t="shared" si="11"/>
        <v>6.8956306256676214</v>
      </c>
      <c r="I52" s="21">
        <f t="shared" si="12"/>
        <v>47.549721725645234</v>
      </c>
      <c r="J52" s="21">
        <f t="shared" si="13"/>
        <v>8.5131242292192866</v>
      </c>
    </row>
    <row r="53" spans="1:10" x14ac:dyDescent="0.35">
      <c r="A53" s="6">
        <v>45</v>
      </c>
      <c r="B53" s="19" t="str">
        <f>'Data Mentah'!B50</f>
        <v>06/11/2023</v>
      </c>
      <c r="C53" s="19">
        <f>'Data Mentah'!H50</f>
        <v>87</v>
      </c>
      <c r="D53" s="20">
        <f t="shared" si="7"/>
        <v>85.671647523239088</v>
      </c>
      <c r="E53" s="20">
        <f t="shared" si="8"/>
        <v>4.1656933567210395</v>
      </c>
      <c r="F53" s="20">
        <f t="shared" si="9"/>
        <v>73.716475232390977</v>
      </c>
      <c r="G53" s="20">
        <f t="shared" si="10"/>
        <v>13.283524767609023</v>
      </c>
      <c r="H53" s="20">
        <f t="shared" si="11"/>
        <v>13.283524767609023</v>
      </c>
      <c r="I53" s="21">
        <f t="shared" si="12"/>
        <v>176.45203025168234</v>
      </c>
      <c r="J53" s="21">
        <f t="shared" si="13"/>
        <v>15.268419273113821</v>
      </c>
    </row>
    <row r="54" spans="1:10" x14ac:dyDescent="0.35">
      <c r="A54" s="6">
        <v>46</v>
      </c>
      <c r="B54" s="19" t="str">
        <f>'Data Mentah'!B51</f>
        <v>13/11/2023</v>
      </c>
      <c r="C54" s="19">
        <f>'Data Mentah'!H51</f>
        <v>95</v>
      </c>
      <c r="D54" s="20">
        <f t="shared" si="7"/>
        <v>94.483734087996012</v>
      </c>
      <c r="E54" s="20">
        <f t="shared" si="8"/>
        <v>8.3474472439533365</v>
      </c>
      <c r="F54" s="20">
        <f t="shared" si="9"/>
        <v>89.837340879960124</v>
      </c>
      <c r="G54" s="20">
        <f t="shared" si="10"/>
        <v>5.1626591200398764</v>
      </c>
      <c r="H54" s="20">
        <f t="shared" si="11"/>
        <v>5.1626591200398764</v>
      </c>
      <c r="I54" s="21">
        <f t="shared" si="12"/>
        <v>26.653049189730911</v>
      </c>
      <c r="J54" s="21">
        <f t="shared" si="13"/>
        <v>5.4343780210946067</v>
      </c>
    </row>
    <row r="55" spans="1:10" x14ac:dyDescent="0.35">
      <c r="A55" s="6">
        <v>47</v>
      </c>
      <c r="B55" s="19" t="str">
        <f>'Data Mentah'!B52</f>
        <v>20/11/2023</v>
      </c>
      <c r="C55" s="19">
        <f>'Data Mentah'!H52</f>
        <v>99</v>
      </c>
      <c r="D55" s="20">
        <f t="shared" si="7"/>
        <v>99.383118133194941</v>
      </c>
      <c r="E55" s="20">
        <f t="shared" si="8"/>
        <v>5.2441903650743695</v>
      </c>
      <c r="F55" s="20">
        <f t="shared" si="9"/>
        <v>102.83118133194935</v>
      </c>
      <c r="G55" s="20">
        <f t="shared" si="10"/>
        <v>-3.8311813319493524</v>
      </c>
      <c r="H55" s="20">
        <f t="shared" si="11"/>
        <v>3.8311813319493524</v>
      </c>
      <c r="I55" s="21">
        <f t="shared" si="12"/>
        <v>14.677950398277213</v>
      </c>
      <c r="J55" s="21">
        <f t="shared" si="13"/>
        <v>3.869880133282174</v>
      </c>
    </row>
    <row r="56" spans="1:10" x14ac:dyDescent="0.35">
      <c r="A56" s="6">
        <v>48</v>
      </c>
      <c r="B56" s="19" t="str">
        <f>'Data Mentah'!B53</f>
        <v>27/11/2023</v>
      </c>
      <c r="C56" s="19">
        <f>'Data Mentah'!H53</f>
        <v>107</v>
      </c>
      <c r="D56" s="20">
        <f t="shared" si="7"/>
        <v>106.76273084982692</v>
      </c>
      <c r="E56" s="20">
        <f t="shared" si="8"/>
        <v>7.1660704814762211</v>
      </c>
      <c r="F56" s="20">
        <f t="shared" si="9"/>
        <v>104.62730849826931</v>
      </c>
      <c r="G56" s="20">
        <f t="shared" si="10"/>
        <v>2.3726915017306851</v>
      </c>
      <c r="H56" s="20">
        <f t="shared" si="11"/>
        <v>2.3726915017306851</v>
      </c>
      <c r="I56" s="21">
        <f t="shared" si="12"/>
        <v>5.6296649623850135</v>
      </c>
      <c r="J56" s="21">
        <f t="shared" si="13"/>
        <v>2.2174686932062477</v>
      </c>
    </row>
    <row r="57" spans="1:10" x14ac:dyDescent="0.35">
      <c r="A57" s="6">
        <v>49</v>
      </c>
      <c r="B57" s="19" t="str">
        <f>'Data Mentah'!B54</f>
        <v>04/12/2023</v>
      </c>
      <c r="C57" s="19">
        <f>'Data Mentah'!H54</f>
        <v>111</v>
      </c>
      <c r="D57" s="20">
        <f t="shared" si="7"/>
        <v>111.29288013313032</v>
      </c>
      <c r="E57" s="20">
        <f t="shared" si="8"/>
        <v>4.7937414031206833</v>
      </c>
      <c r="F57" s="20">
        <f t="shared" si="9"/>
        <v>113.92880133130315</v>
      </c>
      <c r="G57" s="20">
        <f t="shared" si="10"/>
        <v>-2.9288013313031485</v>
      </c>
      <c r="H57" s="20">
        <f t="shared" si="11"/>
        <v>2.9288013313031485</v>
      </c>
      <c r="I57" s="21">
        <f t="shared" si="12"/>
        <v>8.5778772382430954</v>
      </c>
      <c r="J57" s="21">
        <f t="shared" si="13"/>
        <v>2.6385597579307642</v>
      </c>
    </row>
    <row r="58" spans="1:10" x14ac:dyDescent="0.35">
      <c r="A58" s="6">
        <v>50</v>
      </c>
      <c r="B58" s="19" t="str">
        <f>'Data Mentah'!B55</f>
        <v>11/12/2023</v>
      </c>
      <c r="C58" s="19">
        <f>'Data Mentah'!H55</f>
        <v>123</v>
      </c>
      <c r="D58" s="20">
        <f t="shared" si="7"/>
        <v>122.30866215362511</v>
      </c>
      <c r="E58" s="20">
        <f t="shared" si="8"/>
        <v>10.393577958757373</v>
      </c>
      <c r="F58" s="20">
        <f t="shared" si="9"/>
        <v>116.086621536251</v>
      </c>
      <c r="G58" s="20">
        <f t="shared" si="10"/>
        <v>6.9133784637489981</v>
      </c>
      <c r="H58" s="20">
        <f t="shared" si="11"/>
        <v>6.9133784637489981</v>
      </c>
      <c r="I58" s="21">
        <f t="shared" si="12"/>
        <v>47.794801783028454</v>
      </c>
      <c r="J58" s="21">
        <f t="shared" si="13"/>
        <v>5.6206328973569093</v>
      </c>
    </row>
    <row r="59" spans="1:10" x14ac:dyDescent="0.35">
      <c r="A59" s="6">
        <v>51</v>
      </c>
      <c r="B59" s="19" t="str">
        <f>'Data Mentah'!B56</f>
        <v>18/12/2023</v>
      </c>
      <c r="C59" s="19">
        <f>'Data Mentah'!H56</f>
        <v>139</v>
      </c>
      <c r="D59" s="20">
        <f t="shared" si="7"/>
        <v>138.37022401123826</v>
      </c>
      <c r="E59" s="20">
        <f t="shared" si="8"/>
        <v>15.494763467727578</v>
      </c>
      <c r="F59" s="20">
        <f t="shared" si="9"/>
        <v>132.70224011238247</v>
      </c>
      <c r="G59" s="20">
        <f t="shared" si="10"/>
        <v>6.2977598876175307</v>
      </c>
      <c r="H59" s="20">
        <f t="shared" si="11"/>
        <v>6.2977598876175307</v>
      </c>
      <c r="I59" s="21">
        <f t="shared" si="12"/>
        <v>39.661779602084373</v>
      </c>
      <c r="J59" s="21">
        <f t="shared" si="13"/>
        <v>4.53076250907736</v>
      </c>
    </row>
    <row r="60" spans="1:10" x14ac:dyDescent="0.35">
      <c r="A60" s="6">
        <v>52</v>
      </c>
      <c r="B60" s="19" t="str">
        <f>'Data Mentah'!B57</f>
        <v>25/12/2023</v>
      </c>
      <c r="C60" s="19">
        <f>'Data Mentah'!H57</f>
        <v>145</v>
      </c>
      <c r="D60" s="20">
        <f t="shared" si="7"/>
        <v>145.88649874789658</v>
      </c>
      <c r="E60" s="20">
        <f t="shared" si="8"/>
        <v>8.3141236097652431</v>
      </c>
      <c r="F60" s="20">
        <f t="shared" si="9"/>
        <v>153.86498747896584</v>
      </c>
      <c r="G60" s="20">
        <f t="shared" si="10"/>
        <v>-8.864987478965844</v>
      </c>
      <c r="H60" s="20">
        <f t="shared" si="11"/>
        <v>8.864987478965844</v>
      </c>
      <c r="I60" s="21">
        <f t="shared" si="12"/>
        <v>78.588003002221186</v>
      </c>
      <c r="J60" s="21">
        <f t="shared" si="13"/>
        <v>6.1137844682523061</v>
      </c>
    </row>
    <row r="61" spans="1:10" x14ac:dyDescent="0.35">
      <c r="A61" s="6">
        <v>53</v>
      </c>
      <c r="B61" s="19" t="str">
        <f>'Data Mentah'!B58</f>
        <v>01/01/2024</v>
      </c>
      <c r="C61" s="19">
        <f>'Data Mentah'!H58</f>
        <v>152</v>
      </c>
      <c r="D61" s="20">
        <f t="shared" si="7"/>
        <v>152.22006223576619</v>
      </c>
      <c r="E61" s="20">
        <f t="shared" si="8"/>
        <v>6.5316195000591746</v>
      </c>
      <c r="F61" s="20">
        <f t="shared" si="9"/>
        <v>154.20062235766181</v>
      </c>
      <c r="G61" s="20">
        <f t="shared" si="10"/>
        <v>-2.200622357661814</v>
      </c>
      <c r="H61" s="20">
        <f t="shared" si="11"/>
        <v>2.200622357661814</v>
      </c>
      <c r="I61" s="21">
        <f t="shared" si="12"/>
        <v>4.8427387610410406</v>
      </c>
      <c r="J61" s="21">
        <f t="shared" si="13"/>
        <v>1.4477778668827723</v>
      </c>
    </row>
    <row r="62" spans="1:10" x14ac:dyDescent="0.35">
      <c r="A62" s="6">
        <v>54</v>
      </c>
      <c r="B62" s="19" t="str">
        <f>'Data Mentah'!B59</f>
        <v>08/01/2024</v>
      </c>
      <c r="C62" s="19">
        <f>'Data Mentah'!H59</f>
        <v>146</v>
      </c>
      <c r="D62" s="20">
        <f t="shared" si="7"/>
        <v>147.27516817358253</v>
      </c>
      <c r="E62" s="20">
        <f t="shared" si="8"/>
        <v>-3.7972427059593805</v>
      </c>
      <c r="F62" s="20">
        <f t="shared" si="9"/>
        <v>158.75168173582537</v>
      </c>
      <c r="G62" s="20">
        <f t="shared" si="10"/>
        <v>-12.751681735825372</v>
      </c>
      <c r="H62" s="20">
        <f t="shared" si="11"/>
        <v>12.751681735825372</v>
      </c>
      <c r="I62" s="21">
        <f t="shared" si="12"/>
        <v>162.60538709178238</v>
      </c>
      <c r="J62" s="21">
        <f t="shared" si="13"/>
        <v>8.7340285861817613</v>
      </c>
    </row>
    <row r="63" spans="1:10" x14ac:dyDescent="0.35">
      <c r="A63" s="6">
        <v>55</v>
      </c>
      <c r="B63" s="19" t="str">
        <f>'Data Mentah'!B60</f>
        <v>15/01/2024</v>
      </c>
      <c r="C63" s="19">
        <f>'Data Mentah'!H60</f>
        <v>133</v>
      </c>
      <c r="D63" s="20">
        <f t="shared" si="7"/>
        <v>134.04779254676231</v>
      </c>
      <c r="E63" s="20">
        <f t="shared" si="8"/>
        <v>-12.284362334734135</v>
      </c>
      <c r="F63" s="20">
        <f t="shared" si="9"/>
        <v>143.47792546762315</v>
      </c>
      <c r="G63" s="20">
        <f t="shared" si="10"/>
        <v>-10.477925467623152</v>
      </c>
      <c r="H63" s="20">
        <f t="shared" si="11"/>
        <v>10.477925467623152</v>
      </c>
      <c r="I63" s="21">
        <f t="shared" si="12"/>
        <v>109.78692210506584</v>
      </c>
      <c r="J63" s="21">
        <f t="shared" si="13"/>
        <v>7.8781394493407149</v>
      </c>
    </row>
    <row r="64" spans="1:10" x14ac:dyDescent="0.35">
      <c r="A64" s="6">
        <v>56</v>
      </c>
      <c r="B64" s="19" t="str">
        <f>'Data Mentah'!B61</f>
        <v>22/01/2024</v>
      </c>
      <c r="C64" s="19">
        <f>'Data Mentah'!H61</f>
        <v>136</v>
      </c>
      <c r="D64" s="20">
        <f t="shared" si="7"/>
        <v>134.57634302120283</v>
      </c>
      <c r="E64" s="20">
        <f t="shared" si="8"/>
        <v>-0.75274080647694386</v>
      </c>
      <c r="F64" s="20">
        <f t="shared" si="9"/>
        <v>121.76343021202817</v>
      </c>
      <c r="G64" s="20">
        <f t="shared" si="10"/>
        <v>14.236569787971831</v>
      </c>
      <c r="H64" s="20">
        <f t="shared" si="11"/>
        <v>14.236569787971831</v>
      </c>
      <c r="I64" s="21">
        <f t="shared" si="12"/>
        <v>202.67991932779231</v>
      </c>
      <c r="J64" s="21">
        <f t="shared" si="13"/>
        <v>10.468066020567523</v>
      </c>
    </row>
    <row r="65" spans="1:10" x14ac:dyDescent="0.35">
      <c r="A65" s="6">
        <v>57</v>
      </c>
      <c r="B65" s="19" t="str">
        <f>'Data Mentah'!B62</f>
        <v>29/01/2024</v>
      </c>
      <c r="C65" s="19">
        <f>'Data Mentah'!H62</f>
        <v>134</v>
      </c>
      <c r="D65" s="20">
        <f t="shared" si="7"/>
        <v>133.98236022147259</v>
      </c>
      <c r="E65" s="20">
        <f t="shared" si="8"/>
        <v>-0.6098586004049118</v>
      </c>
      <c r="F65" s="20">
        <f t="shared" si="9"/>
        <v>133.8236022147259</v>
      </c>
      <c r="G65" s="20">
        <f t="shared" si="10"/>
        <v>0.17639778527410499</v>
      </c>
      <c r="H65" s="20">
        <f t="shared" si="11"/>
        <v>0.17639778527410499</v>
      </c>
      <c r="I65" s="21">
        <f t="shared" si="12"/>
        <v>3.111617864960925E-2</v>
      </c>
      <c r="J65" s="21">
        <f t="shared" si="13"/>
        <v>0.13164013826425747</v>
      </c>
    </row>
    <row r="66" spans="1:10" x14ac:dyDescent="0.35">
      <c r="A66" s="6">
        <v>58</v>
      </c>
      <c r="B66" s="19" t="str">
        <f>'Data Mentah'!B63</f>
        <v>05/02/2024</v>
      </c>
      <c r="C66" s="19">
        <f>'Data Mentah'!H63</f>
        <v>132</v>
      </c>
      <c r="D66" s="20">
        <f t="shared" si="7"/>
        <v>132.13725016210677</v>
      </c>
      <c r="E66" s="20">
        <f t="shared" si="8"/>
        <v>-1.7215849134697314</v>
      </c>
      <c r="F66" s="20">
        <f t="shared" si="9"/>
        <v>133.37250162106767</v>
      </c>
      <c r="G66" s="20">
        <f t="shared" si="10"/>
        <v>-1.3725016210676699</v>
      </c>
      <c r="H66" s="20">
        <f t="shared" si="11"/>
        <v>1.3725016210676699</v>
      </c>
      <c r="I66" s="21">
        <f t="shared" si="12"/>
        <v>1.8837606998333818</v>
      </c>
      <c r="J66" s="21">
        <f t="shared" si="13"/>
        <v>1.0397739553542955</v>
      </c>
    </row>
    <row r="67" spans="1:10" x14ac:dyDescent="0.35">
      <c r="A67" s="6">
        <v>59</v>
      </c>
      <c r="B67" s="19" t="str">
        <f>'Data Mentah'!B64</f>
        <v>12/02/2024</v>
      </c>
      <c r="C67" s="19">
        <f>'Data Mentah'!H64</f>
        <v>123</v>
      </c>
      <c r="D67" s="20">
        <f t="shared" si="7"/>
        <v>123.7415665248637</v>
      </c>
      <c r="E67" s="20">
        <f t="shared" si="8"/>
        <v>-7.728273764865734</v>
      </c>
      <c r="F67" s="20">
        <f t="shared" si="9"/>
        <v>130.41566524863703</v>
      </c>
      <c r="G67" s="20">
        <f t="shared" si="10"/>
        <v>-7.4156652486370263</v>
      </c>
      <c r="H67" s="20">
        <f t="shared" si="11"/>
        <v>7.4156652486370263</v>
      </c>
      <c r="I67" s="21">
        <f t="shared" si="12"/>
        <v>54.992091079842851</v>
      </c>
      <c r="J67" s="21">
        <f t="shared" si="13"/>
        <v>6.0289961371032739</v>
      </c>
    </row>
    <row r="68" spans="1:10" x14ac:dyDescent="0.35">
      <c r="A68" s="6">
        <v>60</v>
      </c>
      <c r="B68" s="19" t="str">
        <f>'Data Mentah'!B65</f>
        <v>19/02/2024</v>
      </c>
      <c r="C68" s="19">
        <f>'Data Mentah'!H65</f>
        <v>121</v>
      </c>
      <c r="D68" s="20">
        <f t="shared" si="7"/>
        <v>120.50132927599979</v>
      </c>
      <c r="E68" s="20">
        <f t="shared" si="8"/>
        <v>-3.6890409004640885</v>
      </c>
      <c r="F68" s="20">
        <f t="shared" si="9"/>
        <v>116.01329275999797</v>
      </c>
      <c r="G68" s="20">
        <f t="shared" si="10"/>
        <v>4.9867072400020334</v>
      </c>
      <c r="H68" s="20">
        <f t="shared" si="11"/>
        <v>4.9867072400020334</v>
      </c>
      <c r="I68" s="21">
        <f t="shared" si="12"/>
        <v>24.867249097488695</v>
      </c>
      <c r="J68" s="21">
        <f t="shared" si="13"/>
        <v>4.1212456528942427</v>
      </c>
    </row>
    <row r="69" spans="1:10" x14ac:dyDescent="0.35">
      <c r="A69" s="6">
        <v>61</v>
      </c>
      <c r="B69" s="19" t="str">
        <f>'Data Mentah'!B66</f>
        <v>26/02/2024</v>
      </c>
      <c r="C69" s="19">
        <f>'Data Mentah'!H66</f>
        <v>116</v>
      </c>
      <c r="D69" s="20">
        <f t="shared" si="7"/>
        <v>116.08122883755357</v>
      </c>
      <c r="E69" s="20">
        <f t="shared" si="8"/>
        <v>-4.3469944846480129</v>
      </c>
      <c r="F69" s="20">
        <f t="shared" si="9"/>
        <v>116.8122883755357</v>
      </c>
      <c r="G69" s="20">
        <f t="shared" si="10"/>
        <v>-0.81228837553570088</v>
      </c>
      <c r="H69" s="20">
        <f t="shared" si="11"/>
        <v>0.81228837553570088</v>
      </c>
      <c r="I69" s="21">
        <f t="shared" si="12"/>
        <v>0.65981240503042782</v>
      </c>
      <c r="J69" s="21">
        <f t="shared" si="13"/>
        <v>0.70024859959974206</v>
      </c>
    </row>
    <row r="70" spans="1:10" x14ac:dyDescent="0.35">
      <c r="A70" s="6">
        <v>62</v>
      </c>
      <c r="B70" s="19" t="str">
        <f>'Data Mentah'!B67</f>
        <v>04/03/2024</v>
      </c>
      <c r="C70" s="19">
        <f>'Data Mentah'!H67</f>
        <v>123</v>
      </c>
      <c r="D70" s="20">
        <f t="shared" si="7"/>
        <v>121.87342343529056</v>
      </c>
      <c r="E70" s="20">
        <f t="shared" si="8"/>
        <v>4.7782756894984937</v>
      </c>
      <c r="F70" s="20">
        <f t="shared" si="9"/>
        <v>111.73423435290556</v>
      </c>
      <c r="G70" s="20">
        <f t="shared" si="10"/>
        <v>11.26576564709444</v>
      </c>
      <c r="H70" s="20">
        <f t="shared" si="11"/>
        <v>11.26576564709444</v>
      </c>
      <c r="I70" s="21">
        <f t="shared" si="12"/>
        <v>126.91747561525321</v>
      </c>
      <c r="J70" s="21">
        <f t="shared" si="13"/>
        <v>9.1591590626784072</v>
      </c>
    </row>
    <row r="71" spans="1:10" x14ac:dyDescent="0.35">
      <c r="A71" s="6">
        <v>63</v>
      </c>
      <c r="B71" s="19" t="str">
        <f>'Data Mentah'!B68</f>
        <v>11/03/2024</v>
      </c>
      <c r="C71" s="19">
        <f>'Data Mentah'!H68</f>
        <v>133</v>
      </c>
      <c r="D71" s="20">
        <f t="shared" si="7"/>
        <v>132.3651699124789</v>
      </c>
      <c r="E71" s="20">
        <f t="shared" si="8"/>
        <v>9.9203993984193577</v>
      </c>
      <c r="F71" s="20">
        <f t="shared" si="9"/>
        <v>126.65169912478906</v>
      </c>
      <c r="G71" s="20">
        <f t="shared" si="10"/>
        <v>6.3483008752109384</v>
      </c>
      <c r="H71" s="20">
        <f t="shared" si="11"/>
        <v>6.3483008752109384</v>
      </c>
      <c r="I71" s="21">
        <f t="shared" si="12"/>
        <v>40.300924002203971</v>
      </c>
      <c r="J71" s="21">
        <f t="shared" si="13"/>
        <v>4.7731585527901794</v>
      </c>
    </row>
    <row r="72" spans="1:10" x14ac:dyDescent="0.35">
      <c r="A72" s="6">
        <v>64</v>
      </c>
      <c r="B72" s="19" t="str">
        <f>'Data Mentah'!B69</f>
        <v>18/03/2024</v>
      </c>
      <c r="C72" s="19">
        <f>'Data Mentah'!H69</f>
        <v>133</v>
      </c>
      <c r="D72" s="20">
        <f t="shared" si="7"/>
        <v>133.92855693108982</v>
      </c>
      <c r="E72" s="20">
        <f t="shared" si="8"/>
        <v>2.3990882565917548</v>
      </c>
      <c r="F72" s="20">
        <f t="shared" si="9"/>
        <v>142.28556931089827</v>
      </c>
      <c r="G72" s="20">
        <f t="shared" si="10"/>
        <v>-9.2855693108982678</v>
      </c>
      <c r="H72" s="20">
        <f t="shared" si="11"/>
        <v>9.2855693108982678</v>
      </c>
      <c r="I72" s="21">
        <f t="shared" si="12"/>
        <v>86.22179742749573</v>
      </c>
      <c r="J72" s="21">
        <f t="shared" si="13"/>
        <v>6.9816310608257659</v>
      </c>
    </row>
    <row r="73" spans="1:10" x14ac:dyDescent="0.35">
      <c r="A73" s="6">
        <v>65</v>
      </c>
      <c r="B73" s="19" t="str">
        <f>'Data Mentah'!B70</f>
        <v>25/03/2024</v>
      </c>
      <c r="C73" s="19">
        <f>'Data Mentah'!H70</f>
        <v>135</v>
      </c>
      <c r="D73" s="20">
        <f t="shared" ref="D73:D104" si="14">$E$4*C73+(1-$E$4)*(D72+E72)</f>
        <v>135.13276451876817</v>
      </c>
      <c r="E73" s="20">
        <f t="shared" ref="E73:E104" si="15">$H$4*(D73-D72)+(1-$H$4)*E72</f>
        <v>1.3236956545696943</v>
      </c>
      <c r="F73" s="20">
        <f t="shared" ref="F73:F104" si="16">D72+E72</f>
        <v>136.32764518768158</v>
      </c>
      <c r="G73" s="20">
        <f t="shared" ref="G73:G104" si="17">C73-F73</f>
        <v>-1.3276451876815827</v>
      </c>
      <c r="H73" s="20">
        <f t="shared" ref="H73:H104" si="18">ABS(G73)</f>
        <v>1.3276451876815827</v>
      </c>
      <c r="I73" s="21">
        <f t="shared" ref="I73:I104" si="19">G73^2</f>
        <v>1.762641744374065</v>
      </c>
      <c r="J73" s="21">
        <f t="shared" ref="J73:J104" si="20">ABS(G73/C73)*100</f>
        <v>0.9834408797641353</v>
      </c>
    </row>
    <row r="74" spans="1:10" x14ac:dyDescent="0.35">
      <c r="A74" s="6">
        <v>66</v>
      </c>
      <c r="B74" s="19" t="str">
        <f>'Data Mentah'!B71</f>
        <v>01/04/2024</v>
      </c>
      <c r="C74" s="19">
        <f>'Data Mentah'!H71</f>
        <v>126</v>
      </c>
      <c r="D74" s="20">
        <f t="shared" si="14"/>
        <v>127.04564601733379</v>
      </c>
      <c r="E74" s="20">
        <f t="shared" si="15"/>
        <v>-7.146037085833969</v>
      </c>
      <c r="F74" s="20">
        <f t="shared" si="16"/>
        <v>136.45646017333786</v>
      </c>
      <c r="G74" s="20">
        <f t="shared" si="17"/>
        <v>-10.456460173337859</v>
      </c>
      <c r="H74" s="20">
        <f t="shared" si="18"/>
        <v>10.456460173337859</v>
      </c>
      <c r="I74" s="21">
        <f t="shared" si="19"/>
        <v>109.33755935660082</v>
      </c>
      <c r="J74" s="21">
        <f t="shared" si="20"/>
        <v>8.2987779153475074</v>
      </c>
    </row>
    <row r="75" spans="1:10" x14ac:dyDescent="0.35">
      <c r="A75" s="6">
        <v>67</v>
      </c>
      <c r="B75" s="19" t="str">
        <f>'Data Mentah'!B72</f>
        <v>08/04/2024</v>
      </c>
      <c r="C75" s="19">
        <f>'Data Mentah'!H72</f>
        <v>123</v>
      </c>
      <c r="D75" s="20">
        <f t="shared" si="14"/>
        <v>122.68996089314999</v>
      </c>
      <c r="E75" s="20">
        <f t="shared" si="15"/>
        <v>-4.6347203203488236</v>
      </c>
      <c r="F75" s="20">
        <f t="shared" si="16"/>
        <v>119.89960893149983</v>
      </c>
      <c r="G75" s="20">
        <f t="shared" si="17"/>
        <v>3.1003910685001728</v>
      </c>
      <c r="H75" s="20">
        <f t="shared" si="18"/>
        <v>3.1003910685001728</v>
      </c>
      <c r="I75" s="21">
        <f t="shared" si="19"/>
        <v>9.6124247776356437</v>
      </c>
      <c r="J75" s="21">
        <f t="shared" si="20"/>
        <v>2.5206431451220914</v>
      </c>
    </row>
    <row r="76" spans="1:10" x14ac:dyDescent="0.35">
      <c r="A76" s="6">
        <v>68</v>
      </c>
      <c r="B76" s="19" t="str">
        <f>'Data Mentah'!B73</f>
        <v>15/04/2024</v>
      </c>
      <c r="C76" s="19">
        <f>'Data Mentah'!H73</f>
        <v>114</v>
      </c>
      <c r="D76" s="20">
        <f t="shared" si="14"/>
        <v>114.40552405728012</v>
      </c>
      <c r="E76" s="20">
        <f t="shared" si="15"/>
        <v>-7.9194651843177644</v>
      </c>
      <c r="F76" s="20">
        <f t="shared" si="16"/>
        <v>118.05524057280117</v>
      </c>
      <c r="G76" s="20">
        <f t="shared" si="17"/>
        <v>-4.0552405728011678</v>
      </c>
      <c r="H76" s="20">
        <f t="shared" si="18"/>
        <v>4.0552405728011678</v>
      </c>
      <c r="I76" s="21">
        <f t="shared" si="19"/>
        <v>16.444976103292742</v>
      </c>
      <c r="J76" s="21">
        <f t="shared" si="20"/>
        <v>3.5572285726326038</v>
      </c>
    </row>
    <row r="77" spans="1:10" x14ac:dyDescent="0.35">
      <c r="A77" s="6">
        <v>69</v>
      </c>
      <c r="B77" s="19" t="str">
        <f>'Data Mentah'!B74</f>
        <v>22/04/2024</v>
      </c>
      <c r="C77" s="19">
        <f>'Data Mentah'!H74</f>
        <v>102</v>
      </c>
      <c r="D77" s="20">
        <f t="shared" si="14"/>
        <v>102.44860588729622</v>
      </c>
      <c r="E77" s="20">
        <f t="shared" si="15"/>
        <v>-11.553172871417281</v>
      </c>
      <c r="F77" s="20">
        <f t="shared" si="16"/>
        <v>106.48605887296236</v>
      </c>
      <c r="G77" s="20">
        <f t="shared" si="17"/>
        <v>-4.4860588729623601</v>
      </c>
      <c r="H77" s="20">
        <f t="shared" si="18"/>
        <v>4.4860588729623601</v>
      </c>
      <c r="I77" s="21">
        <f t="shared" si="19"/>
        <v>20.12472421168432</v>
      </c>
      <c r="J77" s="21">
        <f t="shared" si="20"/>
        <v>4.3980969342768237</v>
      </c>
    </row>
    <row r="78" spans="1:10" x14ac:dyDescent="0.35">
      <c r="A78" s="6">
        <v>70</v>
      </c>
      <c r="B78" s="19" t="str">
        <f>'Data Mentah'!B75</f>
        <v>29/04/2024</v>
      </c>
      <c r="C78" s="19">
        <f>'Data Mentah'!H75</f>
        <v>108</v>
      </c>
      <c r="D78" s="20">
        <f t="shared" si="14"/>
        <v>106.2895433015879</v>
      </c>
      <c r="E78" s="20">
        <f t="shared" si="15"/>
        <v>2.3015263857207779</v>
      </c>
      <c r="F78" s="20">
        <f t="shared" si="16"/>
        <v>90.89543301587895</v>
      </c>
      <c r="G78" s="20">
        <f t="shared" si="17"/>
        <v>17.10456698412105</v>
      </c>
      <c r="H78" s="20">
        <f t="shared" si="18"/>
        <v>17.10456698412105</v>
      </c>
      <c r="I78" s="21">
        <f t="shared" si="19"/>
        <v>292.56621171428384</v>
      </c>
      <c r="J78" s="21">
        <f t="shared" si="20"/>
        <v>15.837562022334307</v>
      </c>
    </row>
    <row r="79" spans="1:10" x14ac:dyDescent="0.35">
      <c r="A79" s="6">
        <v>71</v>
      </c>
      <c r="B79" s="19" t="str">
        <f>'Data Mentah'!B76</f>
        <v>06/05/2024</v>
      </c>
      <c r="C79" s="19">
        <f>'Data Mentah'!H76</f>
        <v>107</v>
      </c>
      <c r="D79" s="20">
        <f t="shared" si="14"/>
        <v>107.15910696873087</v>
      </c>
      <c r="E79" s="20">
        <f t="shared" si="15"/>
        <v>1.0127599390007505</v>
      </c>
      <c r="F79" s="20">
        <f t="shared" si="16"/>
        <v>108.59106968730867</v>
      </c>
      <c r="G79" s="20">
        <f t="shared" si="17"/>
        <v>-1.5910696873086749</v>
      </c>
      <c r="H79" s="20">
        <f t="shared" si="18"/>
        <v>1.5910696873086749</v>
      </c>
      <c r="I79" s="21">
        <f t="shared" si="19"/>
        <v>2.5315027498725247</v>
      </c>
      <c r="J79" s="21">
        <f t="shared" si="20"/>
        <v>1.4869810161763317</v>
      </c>
    </row>
    <row r="80" spans="1:10" x14ac:dyDescent="0.35">
      <c r="A80" s="6">
        <v>72</v>
      </c>
      <c r="B80" s="19" t="str">
        <f>'Data Mentah'!B77</f>
        <v>13/05/2024</v>
      </c>
      <c r="C80" s="19">
        <f>'Data Mentah'!H77</f>
        <v>107</v>
      </c>
      <c r="D80" s="20">
        <f t="shared" si="14"/>
        <v>107.11718669077315</v>
      </c>
      <c r="E80" s="20">
        <f t="shared" si="15"/>
        <v>6.3547743738131698E-2</v>
      </c>
      <c r="F80" s="20">
        <f t="shared" si="16"/>
        <v>108.17186690773161</v>
      </c>
      <c r="G80" s="20">
        <f t="shared" si="17"/>
        <v>-1.1718669077316122</v>
      </c>
      <c r="H80" s="20">
        <f t="shared" si="18"/>
        <v>1.1718669077316122</v>
      </c>
      <c r="I80" s="21">
        <f t="shared" si="19"/>
        <v>1.3732720494364508</v>
      </c>
      <c r="J80" s="21">
        <f t="shared" si="20"/>
        <v>1.0952027175061796</v>
      </c>
    </row>
    <row r="81" spans="1:10" x14ac:dyDescent="0.35">
      <c r="A81" s="6">
        <v>73</v>
      </c>
      <c r="B81" s="19" t="str">
        <f>'Data Mentah'!B78</f>
        <v>20/05/2024</v>
      </c>
      <c r="C81" s="19">
        <f>'Data Mentah'!H78</f>
        <v>115</v>
      </c>
      <c r="D81" s="20">
        <f t="shared" si="14"/>
        <v>114.21807344345112</v>
      </c>
      <c r="E81" s="20">
        <f t="shared" si="15"/>
        <v>6.3971528517839822</v>
      </c>
      <c r="F81" s="20">
        <f t="shared" si="16"/>
        <v>107.18073443451128</v>
      </c>
      <c r="G81" s="20">
        <f t="shared" si="17"/>
        <v>7.8192655654887204</v>
      </c>
      <c r="H81" s="20">
        <f t="shared" si="18"/>
        <v>7.8192655654887204</v>
      </c>
      <c r="I81" s="21">
        <f t="shared" si="19"/>
        <v>61.140913983637638</v>
      </c>
      <c r="J81" s="21">
        <f t="shared" si="20"/>
        <v>6.7993613612945394</v>
      </c>
    </row>
    <row r="82" spans="1:10" x14ac:dyDescent="0.35">
      <c r="A82" s="6">
        <v>74</v>
      </c>
      <c r="B82" s="19" t="str">
        <f>'Data Mentah'!B79</f>
        <v>27/05/2024</v>
      </c>
      <c r="C82" s="19">
        <f>'Data Mentah'!H79</f>
        <v>116</v>
      </c>
      <c r="D82" s="20">
        <f t="shared" si="14"/>
        <v>116.46152262952351</v>
      </c>
      <c r="E82" s="20">
        <f t="shared" si="15"/>
        <v>2.6588195526435552</v>
      </c>
      <c r="F82" s="20">
        <f t="shared" si="16"/>
        <v>120.6152262952351</v>
      </c>
      <c r="G82" s="20">
        <f t="shared" si="17"/>
        <v>-4.6152262952351037</v>
      </c>
      <c r="H82" s="20">
        <f t="shared" si="18"/>
        <v>4.6152262952351037</v>
      </c>
      <c r="I82" s="21">
        <f t="shared" si="19"/>
        <v>21.300313756229542</v>
      </c>
      <c r="J82" s="21">
        <f t="shared" si="20"/>
        <v>3.9786433579612965</v>
      </c>
    </row>
    <row r="83" spans="1:10" x14ac:dyDescent="0.35">
      <c r="A83" s="6">
        <v>75</v>
      </c>
      <c r="B83" s="19" t="str">
        <f>'Data Mentah'!B80</f>
        <v>03/06/2024</v>
      </c>
      <c r="C83" s="19">
        <f>'Data Mentah'!H80</f>
        <v>123</v>
      </c>
      <c r="D83" s="20">
        <f t="shared" si="14"/>
        <v>122.61203421821671</v>
      </c>
      <c r="E83" s="20">
        <f t="shared" si="15"/>
        <v>5.8013423850882289</v>
      </c>
      <c r="F83" s="20">
        <f t="shared" si="16"/>
        <v>119.12034218216706</v>
      </c>
      <c r="G83" s="20">
        <f t="shared" si="17"/>
        <v>3.8796578178329355</v>
      </c>
      <c r="H83" s="20">
        <f t="shared" si="18"/>
        <v>3.8796578178329355</v>
      </c>
      <c r="I83" s="21">
        <f t="shared" si="19"/>
        <v>15.051744783472214</v>
      </c>
      <c r="J83" s="21">
        <f t="shared" si="20"/>
        <v>3.1541933478316548</v>
      </c>
    </row>
    <row r="84" spans="1:10" x14ac:dyDescent="0.35">
      <c r="A84" s="6">
        <v>76</v>
      </c>
      <c r="B84" s="19" t="str">
        <f>'Data Mentah'!B81</f>
        <v>10/06/2024</v>
      </c>
      <c r="C84" s="19">
        <f>'Data Mentah'!H81</f>
        <v>124</v>
      </c>
      <c r="D84" s="20">
        <f t="shared" si="14"/>
        <v>124.4413376603305</v>
      </c>
      <c r="E84" s="20">
        <f t="shared" si="15"/>
        <v>2.2265073364112404</v>
      </c>
      <c r="F84" s="20">
        <f t="shared" si="16"/>
        <v>128.41337660330493</v>
      </c>
      <c r="G84" s="20">
        <f t="shared" si="17"/>
        <v>-4.4133766033049255</v>
      </c>
      <c r="H84" s="20">
        <f t="shared" si="18"/>
        <v>4.4133766033049255</v>
      </c>
      <c r="I84" s="21">
        <f t="shared" si="19"/>
        <v>19.477893042599323</v>
      </c>
      <c r="J84" s="21">
        <f t="shared" si="20"/>
        <v>3.5591746800846176</v>
      </c>
    </row>
    <row r="85" spans="1:10" x14ac:dyDescent="0.35">
      <c r="A85" s="6">
        <v>77</v>
      </c>
      <c r="B85" s="19" t="str">
        <f>'Data Mentah'!B82</f>
        <v>17/06/2024</v>
      </c>
      <c r="C85" s="19">
        <f>'Data Mentah'!H82</f>
        <v>121</v>
      </c>
      <c r="D85" s="20">
        <f t="shared" si="14"/>
        <v>121.56678449967418</v>
      </c>
      <c r="E85" s="20">
        <f t="shared" si="15"/>
        <v>-2.3644471109495631</v>
      </c>
      <c r="F85" s="20">
        <f t="shared" si="16"/>
        <v>126.66784499674175</v>
      </c>
      <c r="G85" s="20">
        <f t="shared" si="17"/>
        <v>-5.6678449967417492</v>
      </c>
      <c r="H85" s="20">
        <f t="shared" si="18"/>
        <v>5.6678449967417492</v>
      </c>
      <c r="I85" s="21">
        <f t="shared" si="19"/>
        <v>32.124466907090479</v>
      </c>
      <c r="J85" s="21">
        <f t="shared" si="20"/>
        <v>4.6841694187948342</v>
      </c>
    </row>
    <row r="86" spans="1:10" x14ac:dyDescent="0.35">
      <c r="A86" s="6">
        <v>78</v>
      </c>
      <c r="B86" s="19" t="str">
        <f>'Data Mentah'!B83</f>
        <v>24/06/2024</v>
      </c>
      <c r="C86" s="19">
        <f>'Data Mentah'!H83</f>
        <v>126</v>
      </c>
      <c r="D86" s="20">
        <f t="shared" si="14"/>
        <v>125.32023373887246</v>
      </c>
      <c r="E86" s="20">
        <f t="shared" si="15"/>
        <v>3.1416596041834914</v>
      </c>
      <c r="F86" s="20">
        <f t="shared" si="16"/>
        <v>119.20233738872462</v>
      </c>
      <c r="G86" s="20">
        <f t="shared" si="17"/>
        <v>6.7976626112753848</v>
      </c>
      <c r="H86" s="20">
        <f t="shared" si="18"/>
        <v>6.7976626112753848</v>
      </c>
      <c r="I86" s="21">
        <f t="shared" si="19"/>
        <v>46.208216976731286</v>
      </c>
      <c r="J86" s="21">
        <f t="shared" si="20"/>
        <v>5.3949703264090356</v>
      </c>
    </row>
    <row r="87" spans="1:10" x14ac:dyDescent="0.35">
      <c r="A87" s="6">
        <v>79</v>
      </c>
      <c r="B87" s="19" t="str">
        <f>'Data Mentah'!B84</f>
        <v>01/07/2024</v>
      </c>
      <c r="C87" s="19">
        <f>'Data Mentah'!H84</f>
        <v>121</v>
      </c>
      <c r="D87" s="20">
        <f t="shared" si="14"/>
        <v>121.7461893343056</v>
      </c>
      <c r="E87" s="20">
        <f t="shared" si="15"/>
        <v>-2.9024740036918271</v>
      </c>
      <c r="F87" s="20">
        <f t="shared" si="16"/>
        <v>128.46189334305595</v>
      </c>
      <c r="G87" s="20">
        <f t="shared" si="17"/>
        <v>-7.461893343055948</v>
      </c>
      <c r="H87" s="20">
        <f t="shared" si="18"/>
        <v>7.461893343055948</v>
      </c>
      <c r="I87" s="21">
        <f t="shared" si="19"/>
        <v>55.679852263142671</v>
      </c>
      <c r="J87" s="21">
        <f t="shared" si="20"/>
        <v>6.1668540025255769</v>
      </c>
    </row>
    <row r="88" spans="1:10" x14ac:dyDescent="0.35">
      <c r="A88" s="6">
        <v>80</v>
      </c>
      <c r="B88" s="19" t="str">
        <f>'Data Mentah'!B85</f>
        <v>08/07/2024</v>
      </c>
      <c r="C88" s="19">
        <f>'Data Mentah'!H85</f>
        <v>127</v>
      </c>
      <c r="D88" s="20">
        <f t="shared" si="14"/>
        <v>126.18437153306137</v>
      </c>
      <c r="E88" s="20">
        <f t="shared" si="15"/>
        <v>3.7041165785110093</v>
      </c>
      <c r="F88" s="20">
        <f t="shared" si="16"/>
        <v>118.84371533061378</v>
      </c>
      <c r="G88" s="20">
        <f t="shared" si="17"/>
        <v>8.1562846693862241</v>
      </c>
      <c r="H88" s="20">
        <f t="shared" si="18"/>
        <v>8.1562846693862241</v>
      </c>
      <c r="I88" s="21">
        <f t="shared" si="19"/>
        <v>66.52497960806474</v>
      </c>
      <c r="J88" s="21">
        <f t="shared" si="20"/>
        <v>6.4222713932174988</v>
      </c>
    </row>
    <row r="89" spans="1:10" x14ac:dyDescent="0.35">
      <c r="A89" s="6">
        <v>81</v>
      </c>
      <c r="B89" s="19" t="str">
        <f>'Data Mentah'!B86</f>
        <v>15/07/2024</v>
      </c>
      <c r="C89" s="19">
        <f>'Data Mentah'!H86</f>
        <v>127</v>
      </c>
      <c r="D89" s="20">
        <f t="shared" si="14"/>
        <v>127.28884881115724</v>
      </c>
      <c r="E89" s="20">
        <f t="shared" si="15"/>
        <v>1.3644412081373847</v>
      </c>
      <c r="F89" s="20">
        <f t="shared" si="16"/>
        <v>129.88848811157237</v>
      </c>
      <c r="G89" s="20">
        <f t="shared" si="17"/>
        <v>-2.8884881115723715</v>
      </c>
      <c r="H89" s="20">
        <f t="shared" si="18"/>
        <v>2.8884881115723715</v>
      </c>
      <c r="I89" s="21">
        <f t="shared" si="19"/>
        <v>8.3433635706949243</v>
      </c>
      <c r="J89" s="21">
        <f t="shared" si="20"/>
        <v>2.274400087852261</v>
      </c>
    </row>
    <row r="90" spans="1:10" x14ac:dyDescent="0.35">
      <c r="A90" s="6">
        <v>82</v>
      </c>
      <c r="B90" s="19" t="str">
        <f>'Data Mentah'!B87</f>
        <v>22/07/2024</v>
      </c>
      <c r="C90" s="19">
        <f>'Data Mentah'!H87</f>
        <v>120</v>
      </c>
      <c r="D90" s="20">
        <f t="shared" si="14"/>
        <v>120.86532900192945</v>
      </c>
      <c r="E90" s="20">
        <f t="shared" si="15"/>
        <v>-5.6447237074912673</v>
      </c>
      <c r="F90" s="20">
        <f t="shared" si="16"/>
        <v>128.65329001929462</v>
      </c>
      <c r="G90" s="20">
        <f t="shared" si="17"/>
        <v>-8.6532900192946158</v>
      </c>
      <c r="H90" s="20">
        <f t="shared" si="18"/>
        <v>8.6532900192946158</v>
      </c>
      <c r="I90" s="21">
        <f t="shared" si="19"/>
        <v>74.879428158023813</v>
      </c>
      <c r="J90" s="21">
        <f t="shared" si="20"/>
        <v>7.2110750160788468</v>
      </c>
    </row>
    <row r="91" spans="1:10" x14ac:dyDescent="0.35">
      <c r="A91" s="6">
        <v>83</v>
      </c>
      <c r="B91" s="19" t="str">
        <f>'Data Mentah'!B88</f>
        <v>29/07/2024</v>
      </c>
      <c r="C91" s="19">
        <f>'Data Mentah'!H88</f>
        <v>118</v>
      </c>
      <c r="D91" s="20">
        <f t="shared" si="14"/>
        <v>117.72206052944382</v>
      </c>
      <c r="E91" s="20">
        <f t="shared" si="15"/>
        <v>-3.3934139959861938</v>
      </c>
      <c r="F91" s="20">
        <f t="shared" si="16"/>
        <v>115.22060529443819</v>
      </c>
      <c r="G91" s="20">
        <f t="shared" si="17"/>
        <v>2.7793947055618133</v>
      </c>
      <c r="H91" s="20">
        <f t="shared" si="18"/>
        <v>2.7793947055618133</v>
      </c>
      <c r="I91" s="21">
        <f t="shared" si="19"/>
        <v>7.7250349293050391</v>
      </c>
      <c r="J91" s="21">
        <f t="shared" si="20"/>
        <v>2.355419242001537</v>
      </c>
    </row>
    <row r="92" spans="1:10" x14ac:dyDescent="0.35">
      <c r="A92" s="6">
        <v>84</v>
      </c>
      <c r="B92" s="19" t="str">
        <f>'Data Mentah'!B89</f>
        <v>05/08/2024</v>
      </c>
      <c r="C92" s="19">
        <f>'Data Mentah'!H89</f>
        <v>113</v>
      </c>
      <c r="D92" s="20">
        <f t="shared" si="14"/>
        <v>113.13286465334576</v>
      </c>
      <c r="E92" s="20">
        <f t="shared" si="15"/>
        <v>-4.4696176880868732</v>
      </c>
      <c r="F92" s="20">
        <f t="shared" si="16"/>
        <v>114.32864653345763</v>
      </c>
      <c r="G92" s="20">
        <f t="shared" si="17"/>
        <v>-1.3286465334576292</v>
      </c>
      <c r="H92" s="20">
        <f t="shared" si="18"/>
        <v>1.3286465334576292</v>
      </c>
      <c r="I92" s="21">
        <f t="shared" si="19"/>
        <v>1.765301610868975</v>
      </c>
      <c r="J92" s="21">
        <f t="shared" si="20"/>
        <v>1.1757933924403798</v>
      </c>
    </row>
    <row r="93" spans="1:10" x14ac:dyDescent="0.35">
      <c r="A93" s="6">
        <v>85</v>
      </c>
      <c r="B93" s="19" t="str">
        <f>'Data Mentah'!B90</f>
        <v>12/08/2024</v>
      </c>
      <c r="C93" s="19">
        <f>'Data Mentah'!H90</f>
        <v>120</v>
      </c>
      <c r="D93" s="20">
        <f t="shared" si="14"/>
        <v>118.86632469652588</v>
      </c>
      <c r="E93" s="20">
        <f t="shared" si="15"/>
        <v>4.7131522700534179</v>
      </c>
      <c r="F93" s="20">
        <f t="shared" si="16"/>
        <v>108.66324696525889</v>
      </c>
      <c r="G93" s="20">
        <f t="shared" si="17"/>
        <v>11.336753034741108</v>
      </c>
      <c r="H93" s="20">
        <f t="shared" si="18"/>
        <v>11.336753034741108</v>
      </c>
      <c r="I93" s="21">
        <f t="shared" si="19"/>
        <v>128.5219693707117</v>
      </c>
      <c r="J93" s="21">
        <f t="shared" si="20"/>
        <v>9.4472941956175891</v>
      </c>
    </row>
    <row r="94" spans="1:10" x14ac:dyDescent="0.35">
      <c r="A94" s="6">
        <v>86</v>
      </c>
      <c r="B94" s="19" t="str">
        <f>'Data Mentah'!B91</f>
        <v>19/08/2024</v>
      </c>
      <c r="C94" s="19">
        <f>'Data Mentah'!H91</f>
        <v>111</v>
      </c>
      <c r="D94" s="20">
        <f t="shared" si="14"/>
        <v>112.25794769665794</v>
      </c>
      <c r="E94" s="20">
        <f t="shared" si="15"/>
        <v>-5.4762240728758078</v>
      </c>
      <c r="F94" s="20">
        <f t="shared" si="16"/>
        <v>123.57947696657929</v>
      </c>
      <c r="G94" s="20">
        <f t="shared" si="17"/>
        <v>-12.579476966579293</v>
      </c>
      <c r="H94" s="20">
        <f t="shared" si="18"/>
        <v>12.579476966579293</v>
      </c>
      <c r="I94" s="21">
        <f t="shared" si="19"/>
        <v>158.24324075269897</v>
      </c>
      <c r="J94" s="21">
        <f t="shared" si="20"/>
        <v>11.332862132053418</v>
      </c>
    </row>
    <row r="95" spans="1:10" x14ac:dyDescent="0.35">
      <c r="A95" s="6">
        <v>87</v>
      </c>
      <c r="B95" s="19" t="str">
        <f>'Data Mentah'!B92</f>
        <v>26/08/2024</v>
      </c>
      <c r="C95" s="19">
        <f>'Data Mentah'!H92</f>
        <v>113</v>
      </c>
      <c r="D95" s="20">
        <f t="shared" si="14"/>
        <v>112.37817236237821</v>
      </c>
      <c r="E95" s="20">
        <f t="shared" si="15"/>
        <v>-0.4394202081393358</v>
      </c>
      <c r="F95" s="20">
        <f t="shared" si="16"/>
        <v>106.78172362378213</v>
      </c>
      <c r="G95" s="20">
        <f t="shared" si="17"/>
        <v>6.2182763762178723</v>
      </c>
      <c r="H95" s="20">
        <f t="shared" si="18"/>
        <v>6.2182763762178723</v>
      </c>
      <c r="I95" s="21">
        <f t="shared" si="19"/>
        <v>38.666961091029272</v>
      </c>
      <c r="J95" s="21">
        <f t="shared" si="20"/>
        <v>5.5028994479804183</v>
      </c>
    </row>
    <row r="96" spans="1:10" x14ac:dyDescent="0.35">
      <c r="A96" s="6">
        <v>88</v>
      </c>
      <c r="B96" s="19" t="str">
        <f>'Data Mentah'!B93</f>
        <v>02/09/2024</v>
      </c>
      <c r="C96" s="19">
        <f>'Data Mentah'!H93</f>
        <v>120</v>
      </c>
      <c r="D96" s="20">
        <f t="shared" si="14"/>
        <v>119.19387521542389</v>
      </c>
      <c r="E96" s="20">
        <f t="shared" si="15"/>
        <v>6.090190546927178</v>
      </c>
      <c r="F96" s="20">
        <f t="shared" si="16"/>
        <v>111.93875215423887</v>
      </c>
      <c r="G96" s="20">
        <f t="shared" si="17"/>
        <v>8.0612478457611303</v>
      </c>
      <c r="H96" s="20">
        <f t="shared" si="18"/>
        <v>8.0612478457611303</v>
      </c>
      <c r="I96" s="21">
        <f t="shared" si="19"/>
        <v>64.983716830788467</v>
      </c>
      <c r="J96" s="21">
        <f t="shared" si="20"/>
        <v>6.7177065381342755</v>
      </c>
    </row>
    <row r="97" spans="1:10" x14ac:dyDescent="0.35">
      <c r="A97" s="6">
        <v>89</v>
      </c>
      <c r="B97" s="19" t="str">
        <f>'Data Mentah'!B94</f>
        <v>09/09/2024</v>
      </c>
      <c r="C97" s="19">
        <f>'Data Mentah'!H94</f>
        <v>119</v>
      </c>
      <c r="D97" s="20">
        <f t="shared" si="14"/>
        <v>119.62840657623511</v>
      </c>
      <c r="E97" s="20">
        <f t="shared" si="15"/>
        <v>1.0000972794228162</v>
      </c>
      <c r="F97" s="20">
        <f t="shared" si="16"/>
        <v>125.28406576235106</v>
      </c>
      <c r="G97" s="20">
        <f t="shared" si="17"/>
        <v>-6.2840657623510623</v>
      </c>
      <c r="H97" s="20">
        <f t="shared" si="18"/>
        <v>6.2840657623510623</v>
      </c>
      <c r="I97" s="21">
        <f t="shared" si="19"/>
        <v>39.489482505552836</v>
      </c>
      <c r="J97" s="21">
        <f t="shared" si="20"/>
        <v>5.2807275313874475</v>
      </c>
    </row>
    <row r="98" spans="1:10" x14ac:dyDescent="0.35">
      <c r="A98" s="6">
        <v>90</v>
      </c>
      <c r="B98" s="19" t="str">
        <f>'Data Mentah'!B95</f>
        <v>16/09/2024</v>
      </c>
      <c r="C98" s="19">
        <f>'Data Mentah'!H95</f>
        <v>123</v>
      </c>
      <c r="D98" s="20">
        <f t="shared" si="14"/>
        <v>122.7628503855658</v>
      </c>
      <c r="E98" s="20">
        <f t="shared" si="15"/>
        <v>2.921009156339903</v>
      </c>
      <c r="F98" s="20">
        <f t="shared" si="16"/>
        <v>120.62850385565793</v>
      </c>
      <c r="G98" s="20">
        <f t="shared" si="17"/>
        <v>2.3714961443420748</v>
      </c>
      <c r="H98" s="20">
        <f t="shared" si="18"/>
        <v>2.3714961443420748</v>
      </c>
      <c r="I98" s="21">
        <f t="shared" si="19"/>
        <v>5.6239939626293269</v>
      </c>
      <c r="J98" s="21">
        <f t="shared" si="20"/>
        <v>1.9280456458065649</v>
      </c>
    </row>
    <row r="99" spans="1:10" x14ac:dyDescent="0.35">
      <c r="A99" s="6">
        <v>91</v>
      </c>
      <c r="B99" s="19" t="str">
        <f>'Data Mentah'!B96</f>
        <v>23/09/2024</v>
      </c>
      <c r="C99" s="19">
        <f>'Data Mentah'!H96</f>
        <v>125</v>
      </c>
      <c r="D99" s="20">
        <f t="shared" si="14"/>
        <v>125.06838595419057</v>
      </c>
      <c r="E99" s="20">
        <f t="shared" si="15"/>
        <v>2.3670829273962894</v>
      </c>
      <c r="F99" s="20">
        <f t="shared" si="16"/>
        <v>125.6838595419057</v>
      </c>
      <c r="G99" s="20">
        <f t="shared" si="17"/>
        <v>-0.6838595419057043</v>
      </c>
      <c r="H99" s="20">
        <f t="shared" si="18"/>
        <v>0.6838595419057043</v>
      </c>
      <c r="I99" s="21">
        <f t="shared" si="19"/>
        <v>0.46766387305547974</v>
      </c>
      <c r="J99" s="21">
        <f t="shared" si="20"/>
        <v>0.54708763352456347</v>
      </c>
    </row>
    <row r="100" spans="1:10" x14ac:dyDescent="0.35">
      <c r="A100" s="6">
        <v>92</v>
      </c>
      <c r="B100" s="19" t="str">
        <f>'Data Mentah'!B97</f>
        <v>30/09/2024</v>
      </c>
      <c r="C100" s="19">
        <f>'Data Mentah'!H97</f>
        <v>125</v>
      </c>
      <c r="D100" s="20">
        <f t="shared" si="14"/>
        <v>125.24354688815869</v>
      </c>
      <c r="E100" s="20">
        <f t="shared" si="15"/>
        <v>0.39435313331093269</v>
      </c>
      <c r="F100" s="20">
        <f t="shared" si="16"/>
        <v>127.43546888158687</v>
      </c>
      <c r="G100" s="20">
        <f t="shared" si="17"/>
        <v>-2.4354688815868712</v>
      </c>
      <c r="H100" s="20">
        <f t="shared" si="18"/>
        <v>2.4354688815868712</v>
      </c>
      <c r="I100" s="21">
        <f t="shared" si="19"/>
        <v>5.9315086731780058</v>
      </c>
      <c r="J100" s="21">
        <f t="shared" si="20"/>
        <v>1.9483751052694971</v>
      </c>
    </row>
    <row r="101" spans="1:10" x14ac:dyDescent="0.35">
      <c r="A101" s="6">
        <v>93</v>
      </c>
      <c r="B101" s="19" t="str">
        <f>'Data Mentah'!B98</f>
        <v>07/10/2024</v>
      </c>
      <c r="C101" s="19">
        <f>'Data Mentah'!H98</f>
        <v>127</v>
      </c>
      <c r="D101" s="20">
        <f t="shared" si="14"/>
        <v>126.86379000214696</v>
      </c>
      <c r="E101" s="20">
        <f t="shared" si="15"/>
        <v>1.4976541159205328</v>
      </c>
      <c r="F101" s="20">
        <f t="shared" si="16"/>
        <v>125.63790002146962</v>
      </c>
      <c r="G101" s="20">
        <f t="shared" si="17"/>
        <v>1.3620999785303809</v>
      </c>
      <c r="H101" s="20">
        <f t="shared" si="18"/>
        <v>1.3620999785303809</v>
      </c>
      <c r="I101" s="21">
        <f t="shared" si="19"/>
        <v>1.855316351512464</v>
      </c>
      <c r="J101" s="21">
        <f t="shared" si="20"/>
        <v>1.0725196681341582</v>
      </c>
    </row>
    <row r="102" spans="1:10" x14ac:dyDescent="0.35">
      <c r="A102" s="6">
        <v>94</v>
      </c>
      <c r="B102" s="19" t="str">
        <f>'Data Mentah'!B99</f>
        <v>14/10/2024</v>
      </c>
      <c r="C102" s="19">
        <f>'Data Mentah'!H99</f>
        <v>127</v>
      </c>
      <c r="D102" s="20">
        <f t="shared" si="14"/>
        <v>127.13614441180674</v>
      </c>
      <c r="E102" s="20">
        <f t="shared" si="15"/>
        <v>0.39488438028585837</v>
      </c>
      <c r="F102" s="20">
        <f t="shared" si="16"/>
        <v>128.36144411806748</v>
      </c>
      <c r="G102" s="20">
        <f t="shared" si="17"/>
        <v>-1.3614441180674817</v>
      </c>
      <c r="H102" s="20">
        <f t="shared" si="18"/>
        <v>1.3614441180674817</v>
      </c>
      <c r="I102" s="21">
        <f t="shared" si="19"/>
        <v>1.8535300866205429</v>
      </c>
      <c r="J102" s="21">
        <f t="shared" si="20"/>
        <v>1.0720032425728201</v>
      </c>
    </row>
    <row r="103" spans="1:10" x14ac:dyDescent="0.35">
      <c r="A103" s="6">
        <v>95</v>
      </c>
      <c r="B103" s="19" t="str">
        <f>'Data Mentah'!B100</f>
        <v>21/10/2024</v>
      </c>
      <c r="C103" s="19">
        <f>'Data Mentah'!H100</f>
        <v>126</v>
      </c>
      <c r="D103" s="20">
        <f t="shared" si="14"/>
        <v>126.15310287920926</v>
      </c>
      <c r="E103" s="20">
        <f t="shared" si="15"/>
        <v>-0.84524894130914852</v>
      </c>
      <c r="F103" s="20">
        <f t="shared" si="16"/>
        <v>127.5310287920926</v>
      </c>
      <c r="G103" s="20">
        <f t="shared" si="17"/>
        <v>-1.5310287920925987</v>
      </c>
      <c r="H103" s="20">
        <f t="shared" si="18"/>
        <v>1.5310287920925987</v>
      </c>
      <c r="I103" s="21">
        <f t="shared" si="19"/>
        <v>2.3440491622165216</v>
      </c>
      <c r="J103" s="21">
        <f t="shared" si="20"/>
        <v>1.2151022159465068</v>
      </c>
    </row>
    <row r="104" spans="1:10" x14ac:dyDescent="0.35">
      <c r="A104" s="6">
        <v>96</v>
      </c>
      <c r="B104" s="19" t="str">
        <f>'Data Mentah'!B101</f>
        <v>28/10/2024</v>
      </c>
      <c r="C104" s="19">
        <f>'Data Mentah'!H101</f>
        <v>117</v>
      </c>
      <c r="D104" s="20">
        <f t="shared" si="14"/>
        <v>117.83078539379001</v>
      </c>
      <c r="E104" s="20">
        <f t="shared" si="15"/>
        <v>-7.5746106310082384</v>
      </c>
      <c r="F104" s="20">
        <f t="shared" si="16"/>
        <v>125.30785393790011</v>
      </c>
      <c r="G104" s="20">
        <f t="shared" si="17"/>
        <v>-8.3078539379001057</v>
      </c>
      <c r="H104" s="20">
        <f t="shared" si="18"/>
        <v>8.3078539379001057</v>
      </c>
      <c r="I104" s="21">
        <f t="shared" si="19"/>
        <v>69.020437053482297</v>
      </c>
      <c r="J104" s="21">
        <f t="shared" si="20"/>
        <v>7.1007298614530807</v>
      </c>
    </row>
    <row r="105" spans="1:10" x14ac:dyDescent="0.35">
      <c r="A105" s="6">
        <v>97</v>
      </c>
      <c r="B105" s="19" t="str">
        <f>'Data Mentah'!B102</f>
        <v>04/11/2024</v>
      </c>
      <c r="C105" s="19">
        <f>'Data Mentah'!H102</f>
        <v>109</v>
      </c>
      <c r="D105" s="20">
        <f t="shared" ref="D105:D136" si="21">$E$4*C105+(1-$E$4)*(D104+E104)</f>
        <v>109.12561747627818</v>
      </c>
      <c r="E105" s="20">
        <f t="shared" ref="E105:E136" si="22">$H$4*(D105-D104)+(1-$H$4)*E104</f>
        <v>-8.5921121888614707</v>
      </c>
      <c r="F105" s="20">
        <f t="shared" ref="F105:F113" si="23">D104+E104</f>
        <v>110.25617476278177</v>
      </c>
      <c r="G105" s="20">
        <f t="shared" ref="G105:G136" si="24">C105-F105</f>
        <v>-1.2561747627817681</v>
      </c>
      <c r="H105" s="20">
        <f t="shared" ref="H105:H136" si="25">ABS(G105)</f>
        <v>1.2561747627817681</v>
      </c>
      <c r="I105" s="21">
        <f t="shared" ref="I105:I113" si="26">G105^2</f>
        <v>1.5779750346498314</v>
      </c>
      <c r="J105" s="21">
        <f t="shared" ref="J105:J113" si="27">ABS(G105/C105)*100</f>
        <v>1.1524539108089615</v>
      </c>
    </row>
    <row r="106" spans="1:10" x14ac:dyDescent="0.35">
      <c r="A106" s="6">
        <v>98</v>
      </c>
      <c r="B106" s="19" t="str">
        <f>'Data Mentah'!B103</f>
        <v>11/11/2024</v>
      </c>
      <c r="C106" s="19">
        <f>'Data Mentah'!H103</f>
        <v>110</v>
      </c>
      <c r="D106" s="20">
        <f t="shared" si="21"/>
        <v>109.05335052874167</v>
      </c>
      <c r="E106" s="20">
        <f t="shared" si="22"/>
        <v>-0.92425147166900146</v>
      </c>
      <c r="F106" s="20">
        <f t="shared" si="23"/>
        <v>100.53350528741672</v>
      </c>
      <c r="G106" s="20">
        <f t="shared" si="24"/>
        <v>9.4664947125832839</v>
      </c>
      <c r="H106" s="20">
        <f t="shared" si="25"/>
        <v>9.4664947125832839</v>
      </c>
      <c r="I106" s="21">
        <f t="shared" si="26"/>
        <v>89.614522143367267</v>
      </c>
      <c r="J106" s="21">
        <f t="shared" si="27"/>
        <v>8.6059042841666216</v>
      </c>
    </row>
    <row r="107" spans="1:10" x14ac:dyDescent="0.35">
      <c r="A107" s="6">
        <v>99</v>
      </c>
      <c r="B107" s="19" t="str">
        <f>'Data Mentah'!B104</f>
        <v>18/11/2024</v>
      </c>
      <c r="C107" s="19">
        <f>'Data Mentah'!H104</f>
        <v>112</v>
      </c>
      <c r="D107" s="20">
        <f t="shared" si="21"/>
        <v>111.61290990570726</v>
      </c>
      <c r="E107" s="20">
        <f t="shared" si="22"/>
        <v>2.2111782921021228</v>
      </c>
      <c r="F107" s="20">
        <f t="shared" si="23"/>
        <v>108.12909905707268</v>
      </c>
      <c r="G107" s="20">
        <f t="shared" si="24"/>
        <v>3.8709009429273209</v>
      </c>
      <c r="H107" s="20">
        <f t="shared" si="25"/>
        <v>3.8709009429273209</v>
      </c>
      <c r="I107" s="21">
        <f t="shared" si="26"/>
        <v>14.983874109955622</v>
      </c>
      <c r="J107" s="21">
        <f t="shared" si="27"/>
        <v>3.4561615561851076</v>
      </c>
    </row>
    <row r="108" spans="1:10" x14ac:dyDescent="0.35">
      <c r="A108" s="6">
        <v>100</v>
      </c>
      <c r="B108" s="19" t="str">
        <f>'Data Mentah'!B105</f>
        <v>25/11/2024</v>
      </c>
      <c r="C108" s="19">
        <f>'Data Mentah'!H105</f>
        <v>120</v>
      </c>
      <c r="D108" s="20">
        <f t="shared" si="21"/>
        <v>119.38240881978093</v>
      </c>
      <c r="E108" s="20">
        <f t="shared" si="22"/>
        <v>7.2136668518765239</v>
      </c>
      <c r="F108" s="20">
        <f t="shared" si="23"/>
        <v>113.82408819780937</v>
      </c>
      <c r="G108" s="20">
        <f t="shared" si="24"/>
        <v>6.1759118021906261</v>
      </c>
      <c r="H108" s="20">
        <f t="shared" si="25"/>
        <v>6.1759118021906261</v>
      </c>
      <c r="I108" s="21">
        <f t="shared" si="26"/>
        <v>38.141886588437465</v>
      </c>
      <c r="J108" s="21">
        <f t="shared" si="27"/>
        <v>5.1465931684921884</v>
      </c>
    </row>
    <row r="109" spans="1:10" x14ac:dyDescent="0.35">
      <c r="A109" s="6">
        <v>101</v>
      </c>
      <c r="B109" s="19" t="str">
        <f>'Data Mentah'!B106</f>
        <v>02/12/2024</v>
      </c>
      <c r="C109" s="19">
        <f>'Data Mentah'!H106</f>
        <v>125</v>
      </c>
      <c r="D109" s="20">
        <f t="shared" si="21"/>
        <v>125.15960756716575</v>
      </c>
      <c r="E109" s="20">
        <f t="shared" si="22"/>
        <v>5.920845557833986</v>
      </c>
      <c r="F109" s="20">
        <f t="shared" si="23"/>
        <v>126.59607567165746</v>
      </c>
      <c r="G109" s="20">
        <f t="shared" si="24"/>
        <v>-1.5960756716574593</v>
      </c>
      <c r="H109" s="20">
        <f t="shared" si="25"/>
        <v>1.5960756716574593</v>
      </c>
      <c r="I109" s="21">
        <f t="shared" si="26"/>
        <v>2.5474575496568099</v>
      </c>
      <c r="J109" s="21">
        <f t="shared" si="27"/>
        <v>1.2768605373259676</v>
      </c>
    </row>
    <row r="110" spans="1:10" x14ac:dyDescent="0.35">
      <c r="A110" s="6">
        <v>102</v>
      </c>
      <c r="B110" s="19" t="str">
        <f>'Data Mentah'!B107</f>
        <v>09/12/2024</v>
      </c>
      <c r="C110" s="19">
        <f>'Data Mentah'!H107</f>
        <v>127</v>
      </c>
      <c r="D110" s="20">
        <f t="shared" si="21"/>
        <v>127.40804531249997</v>
      </c>
      <c r="E110" s="20">
        <f t="shared" si="22"/>
        <v>2.6156785265841922</v>
      </c>
      <c r="F110" s="20">
        <f t="shared" si="23"/>
        <v>131.08045312499974</v>
      </c>
      <c r="G110" s="20">
        <f t="shared" si="24"/>
        <v>-4.0804531249997353</v>
      </c>
      <c r="H110" s="20">
        <f t="shared" si="25"/>
        <v>4.0804531249997353</v>
      </c>
      <c r="I110" s="21">
        <f t="shared" si="26"/>
        <v>16.650097705320107</v>
      </c>
      <c r="J110" s="21">
        <f t="shared" si="27"/>
        <v>3.2129552165352244</v>
      </c>
    </row>
    <row r="111" spans="1:10" x14ac:dyDescent="0.35">
      <c r="A111" s="6">
        <v>103</v>
      </c>
      <c r="B111" s="19" t="str">
        <f>'Data Mentah'!B108</f>
        <v>16/12/2024</v>
      </c>
      <c r="C111" s="19">
        <f>'Data Mentah'!H108</f>
        <v>119</v>
      </c>
      <c r="D111" s="20">
        <f t="shared" si="21"/>
        <v>120.10237238390842</v>
      </c>
      <c r="E111" s="20">
        <f t="shared" si="22"/>
        <v>-6.3135377830739747</v>
      </c>
      <c r="F111" s="20">
        <f t="shared" si="23"/>
        <v>130.02372383908417</v>
      </c>
      <c r="G111" s="20">
        <f t="shared" si="24"/>
        <v>-11.02372383908417</v>
      </c>
      <c r="H111" s="20">
        <f t="shared" si="25"/>
        <v>11.02372383908417</v>
      </c>
      <c r="I111" s="21">
        <f t="shared" si="26"/>
        <v>121.52248728039262</v>
      </c>
      <c r="J111" s="21">
        <f t="shared" si="27"/>
        <v>9.2636334782219922</v>
      </c>
    </row>
    <row r="112" spans="1:10" x14ac:dyDescent="0.35">
      <c r="A112" s="6">
        <v>104</v>
      </c>
      <c r="B112" s="19" t="str">
        <f>'Data Mentah'!B109</f>
        <v>23/12/2024</v>
      </c>
      <c r="C112" s="19">
        <f>'Data Mentah'!H109</f>
        <v>110</v>
      </c>
      <c r="D112" s="20">
        <f t="shared" si="21"/>
        <v>110.37888346008344</v>
      </c>
      <c r="E112" s="20">
        <f t="shared" si="22"/>
        <v>-9.3824938097498745</v>
      </c>
      <c r="F112" s="20">
        <f t="shared" si="23"/>
        <v>113.78883460083445</v>
      </c>
      <c r="G112" s="20">
        <f t="shared" si="24"/>
        <v>-3.7888346008344485</v>
      </c>
      <c r="H112" s="20">
        <f t="shared" si="25"/>
        <v>3.7888346008344485</v>
      </c>
      <c r="I112" s="21">
        <f t="shared" si="26"/>
        <v>14.355267632480334</v>
      </c>
      <c r="J112" s="21">
        <f t="shared" si="27"/>
        <v>3.4443950916676807</v>
      </c>
    </row>
    <row r="113" spans="1:10" x14ac:dyDescent="0.35">
      <c r="A113" s="6">
        <v>105</v>
      </c>
      <c r="B113" s="19" t="str">
        <f>'Data Mentah'!B110</f>
        <v>30/12/2024</v>
      </c>
      <c r="C113" s="19">
        <f>'Data Mentah'!H110</f>
        <v>93</v>
      </c>
      <c r="D113" s="20">
        <f t="shared" si="21"/>
        <v>93.799638965033353</v>
      </c>
      <c r="E113" s="20">
        <f t="shared" si="22"/>
        <v>-15.85956942652007</v>
      </c>
      <c r="F113" s="20">
        <f t="shared" si="23"/>
        <v>100.99638965033357</v>
      </c>
      <c r="G113" s="20">
        <f t="shared" si="24"/>
        <v>-7.996389650333569</v>
      </c>
      <c r="H113" s="20">
        <f t="shared" si="25"/>
        <v>7.996389650333569</v>
      </c>
      <c r="I113" s="21">
        <f t="shared" si="26"/>
        <v>63.942247439961818</v>
      </c>
      <c r="J113" s="21">
        <f t="shared" si="27"/>
        <v>8.5982684412188917</v>
      </c>
    </row>
    <row r="115" spans="1:10" x14ac:dyDescent="0.35">
      <c r="A115" s="2" t="s">
        <v>178</v>
      </c>
      <c r="B115" s="2"/>
      <c r="C115" s="2"/>
      <c r="D115" s="2"/>
    </row>
    <row r="116" spans="1:10" x14ac:dyDescent="0.35">
      <c r="A116" s="1" t="s">
        <v>179</v>
      </c>
      <c r="B116" s="1"/>
      <c r="C116" s="1"/>
      <c r="D116" s="22">
        <f>AVERAGE(H93:H113)</f>
        <v>5.3232395470222889</v>
      </c>
    </row>
    <row r="117" spans="1:10" x14ac:dyDescent="0.35">
      <c r="A117" s="1" t="s">
        <v>180</v>
      </c>
      <c r="B117" s="1"/>
      <c r="C117" s="1"/>
      <c r="D117" s="22">
        <f>AVERAGE(I93:I113)</f>
        <v>41.920842152271334</v>
      </c>
    </row>
    <row r="118" spans="1:10" x14ac:dyDescent="0.35">
      <c r="A118" s="1" t="s">
        <v>181</v>
      </c>
      <c r="B118" s="1"/>
      <c r="C118" s="1"/>
      <c r="D118" s="23">
        <f>AVERAGE(J93:J113)</f>
        <v>4.6344085191668078</v>
      </c>
    </row>
    <row r="119" spans="1:10" x14ac:dyDescent="0.35">
      <c r="A119" s="1" t="s">
        <v>182</v>
      </c>
      <c r="B119" s="1"/>
      <c r="C119" s="1"/>
      <c r="D119" s="24" t="str">
        <f>IF(D118&lt;10,"Sangat Baik",IF(D118&lt;20,"Baik",IF(D118&lt;=50,"Cukup","Rendah")))</f>
        <v>Sangat Baik</v>
      </c>
    </row>
    <row r="120" spans="1:10" x14ac:dyDescent="0.35">
      <c r="A120" s="1" t="s">
        <v>183</v>
      </c>
      <c r="B120" s="1"/>
      <c r="C120" s="1"/>
      <c r="D120" s="23">
        <f>D113+E113</f>
        <v>77.940069538513285</v>
      </c>
    </row>
    <row r="121" spans="1:10" x14ac:dyDescent="0.35">
      <c r="A121" s="1" t="s">
        <v>184</v>
      </c>
      <c r="B121" s="1"/>
      <c r="C121" s="1"/>
      <c r="D121" s="23">
        <f>AVERAGE(C9:C113)</f>
        <v>117.42857142857143</v>
      </c>
    </row>
  </sheetData>
  <mergeCells count="9">
    <mergeCell ref="A118:C118"/>
    <mergeCell ref="A119:C119"/>
    <mergeCell ref="A120:C120"/>
    <mergeCell ref="A121:C121"/>
    <mergeCell ref="A1:J1"/>
    <mergeCell ref="A2:J2"/>
    <mergeCell ref="A115:D115"/>
    <mergeCell ref="A116:C116"/>
    <mergeCell ref="A117:C117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121"/>
  <sheetViews>
    <sheetView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8.6328125" defaultRowHeight="14.5" x14ac:dyDescent="0.35"/>
  <cols>
    <col min="1" max="1" width="9" customWidth="1"/>
    <col min="2" max="2" width="12" customWidth="1"/>
    <col min="3" max="3" width="9" customWidth="1"/>
    <col min="4" max="6" width="11" customWidth="1"/>
    <col min="7" max="8" width="10" customWidth="1"/>
    <col min="9" max="9" width="11" customWidth="1"/>
    <col min="10" max="10" width="10" customWidth="1"/>
  </cols>
  <sheetData>
    <row r="1" spans="1:10" ht="18" x14ac:dyDescent="0.4">
      <c r="A1" s="3" t="s">
        <v>190</v>
      </c>
      <c r="B1" s="3"/>
      <c r="C1" s="3"/>
      <c r="D1" s="3"/>
      <c r="E1" s="3"/>
      <c r="F1" s="3"/>
      <c r="G1" s="3"/>
      <c r="H1" s="3"/>
      <c r="I1" s="3"/>
      <c r="J1" s="3"/>
    </row>
    <row r="2" spans="1:10" ht="27.75" customHeight="1" x14ac:dyDescent="0.35">
      <c r="A2" s="4" t="s">
        <v>163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35">
      <c r="A4" s="15" t="s">
        <v>164</v>
      </c>
      <c r="B4" s="16" t="s">
        <v>11</v>
      </c>
      <c r="D4" s="15" t="s">
        <v>165</v>
      </c>
      <c r="E4" s="17">
        <v>0.9</v>
      </c>
      <c r="G4" s="15" t="s">
        <v>166</v>
      </c>
      <c r="H4" s="17">
        <v>0.1</v>
      </c>
    </row>
    <row r="5" spans="1:10" x14ac:dyDescent="0.35">
      <c r="A5" s="15" t="s">
        <v>167</v>
      </c>
      <c r="B5" s="18">
        <f>'Data Mentah'!I5</f>
        <v>26</v>
      </c>
      <c r="D5" s="15" t="s">
        <v>168</v>
      </c>
      <c r="E5" s="17">
        <v>0</v>
      </c>
    </row>
    <row r="7" spans="1:10" x14ac:dyDescent="0.35">
      <c r="A7" s="5" t="s">
        <v>169</v>
      </c>
      <c r="B7" s="5" t="s">
        <v>4</v>
      </c>
      <c r="C7" s="5" t="s">
        <v>170</v>
      </c>
      <c r="D7" s="5" t="s">
        <v>171</v>
      </c>
      <c r="E7" s="5" t="s">
        <v>172</v>
      </c>
      <c r="F7" s="5" t="s">
        <v>173</v>
      </c>
      <c r="G7" s="5" t="s">
        <v>174</v>
      </c>
      <c r="H7" s="5" t="s">
        <v>175</v>
      </c>
      <c r="I7" s="5" t="s">
        <v>176</v>
      </c>
      <c r="J7" s="5" t="s">
        <v>177</v>
      </c>
    </row>
    <row r="8" spans="1:10" x14ac:dyDescent="0.35">
      <c r="A8" s="6">
        <v>0</v>
      </c>
      <c r="B8" s="19" t="str">
        <f>'Data Mentah'!B5</f>
        <v>26/12/2022</v>
      </c>
      <c r="C8" s="19">
        <f>'Data Mentah'!I5</f>
        <v>26</v>
      </c>
      <c r="D8" s="10">
        <f>$B$5</f>
        <v>26</v>
      </c>
      <c r="E8" s="10">
        <f>$E$5</f>
        <v>0</v>
      </c>
    </row>
    <row r="9" spans="1:10" x14ac:dyDescent="0.35">
      <c r="A9" s="6">
        <v>1</v>
      </c>
      <c r="B9" s="19" t="str">
        <f>'Data Mentah'!B6</f>
        <v>02/01/2023</v>
      </c>
      <c r="C9" s="19">
        <f>'Data Mentah'!I6</f>
        <v>60</v>
      </c>
      <c r="D9" s="20">
        <f t="shared" ref="D9:D40" si="0">$E$4*C9+(1-$E$4)*(D8+E8)</f>
        <v>56.6</v>
      </c>
      <c r="E9" s="20">
        <f t="shared" ref="E9:E40" si="1">$H$4*(D9-D8)+(1-$H$4)*E8</f>
        <v>3.0600000000000005</v>
      </c>
      <c r="F9" s="20">
        <f t="shared" ref="F9:F40" si="2">D8+E8</f>
        <v>26</v>
      </c>
      <c r="G9" s="20">
        <f t="shared" ref="G9:G40" si="3">C9-F9</f>
        <v>34</v>
      </c>
      <c r="H9" s="20">
        <f t="shared" ref="H9:H40" si="4">ABS(G9)</f>
        <v>34</v>
      </c>
      <c r="I9" s="21">
        <f t="shared" ref="I9:I40" si="5">G9^2</f>
        <v>1156</v>
      </c>
      <c r="J9" s="21">
        <f t="shared" ref="J9:J40" si="6">ABS(G9/C9)*100</f>
        <v>56.666666666666664</v>
      </c>
    </row>
    <row r="10" spans="1:10" x14ac:dyDescent="0.35">
      <c r="A10" s="6">
        <v>2</v>
      </c>
      <c r="B10" s="19" t="str">
        <f>'Data Mentah'!B7</f>
        <v>09/01/2023</v>
      </c>
      <c r="C10" s="19">
        <f>'Data Mentah'!I7</f>
        <v>78</v>
      </c>
      <c r="D10" s="20">
        <f t="shared" si="0"/>
        <v>76.165999999999997</v>
      </c>
      <c r="E10" s="20">
        <f t="shared" si="1"/>
        <v>4.7106000000000003</v>
      </c>
      <c r="F10" s="20">
        <f t="shared" si="2"/>
        <v>59.660000000000004</v>
      </c>
      <c r="G10" s="20">
        <f t="shared" si="3"/>
        <v>18.339999999999996</v>
      </c>
      <c r="H10" s="20">
        <f t="shared" si="4"/>
        <v>18.339999999999996</v>
      </c>
      <c r="I10" s="21">
        <f t="shared" si="5"/>
        <v>336.35559999999987</v>
      </c>
      <c r="J10" s="21">
        <f t="shared" si="6"/>
        <v>23.512820512820511</v>
      </c>
    </row>
    <row r="11" spans="1:10" x14ac:dyDescent="0.35">
      <c r="A11" s="6">
        <v>3</v>
      </c>
      <c r="B11" s="19" t="str">
        <f>'Data Mentah'!B8</f>
        <v>16/01/2023</v>
      </c>
      <c r="C11" s="19">
        <f>'Data Mentah'!I8</f>
        <v>91</v>
      </c>
      <c r="D11" s="20">
        <f t="shared" si="0"/>
        <v>89.987660000000005</v>
      </c>
      <c r="E11" s="20">
        <f t="shared" si="1"/>
        <v>5.6217060000000014</v>
      </c>
      <c r="F11" s="20">
        <f t="shared" si="2"/>
        <v>80.876599999999996</v>
      </c>
      <c r="G11" s="20">
        <f t="shared" si="3"/>
        <v>10.123400000000004</v>
      </c>
      <c r="H11" s="20">
        <f t="shared" si="4"/>
        <v>10.123400000000004</v>
      </c>
      <c r="I11" s="21">
        <f t="shared" si="5"/>
        <v>102.48322756000007</v>
      </c>
      <c r="J11" s="21">
        <f t="shared" si="6"/>
        <v>11.124615384615389</v>
      </c>
    </row>
    <row r="12" spans="1:10" x14ac:dyDescent="0.35">
      <c r="A12" s="6">
        <v>4</v>
      </c>
      <c r="B12" s="19" t="str">
        <f>'Data Mentah'!B9</f>
        <v>23/01/2023</v>
      </c>
      <c r="C12" s="19">
        <f>'Data Mentah'!I9</f>
        <v>112</v>
      </c>
      <c r="D12" s="20">
        <f t="shared" si="0"/>
        <v>110.3609366</v>
      </c>
      <c r="E12" s="20">
        <f t="shared" si="1"/>
        <v>7.0968630600000013</v>
      </c>
      <c r="F12" s="20">
        <f t="shared" si="2"/>
        <v>95.609366000000009</v>
      </c>
      <c r="G12" s="20">
        <f t="shared" si="3"/>
        <v>16.390633999999991</v>
      </c>
      <c r="H12" s="20">
        <f t="shared" si="4"/>
        <v>16.390633999999991</v>
      </c>
      <c r="I12" s="21">
        <f t="shared" si="5"/>
        <v>268.65288292195572</v>
      </c>
      <c r="J12" s="21">
        <f t="shared" si="6"/>
        <v>14.634494642857135</v>
      </c>
    </row>
    <row r="13" spans="1:10" x14ac:dyDescent="0.35">
      <c r="A13" s="6">
        <v>5</v>
      </c>
      <c r="B13" s="19" t="str">
        <f>'Data Mentah'!B10</f>
        <v>30/01/2023</v>
      </c>
      <c r="C13" s="19">
        <f>'Data Mentah'!I10</f>
        <v>121</v>
      </c>
      <c r="D13" s="20">
        <f t="shared" si="0"/>
        <v>120.64577996600001</v>
      </c>
      <c r="E13" s="20">
        <f t="shared" si="1"/>
        <v>7.4156610906000022</v>
      </c>
      <c r="F13" s="20">
        <f t="shared" si="2"/>
        <v>117.45779966000001</v>
      </c>
      <c r="G13" s="20">
        <f t="shared" si="3"/>
        <v>3.5422003399999937</v>
      </c>
      <c r="H13" s="20">
        <f t="shared" si="4"/>
        <v>3.5422003399999937</v>
      </c>
      <c r="I13" s="21">
        <f t="shared" si="5"/>
        <v>12.54718324869607</v>
      </c>
      <c r="J13" s="21">
        <f t="shared" si="6"/>
        <v>2.9274382975206561</v>
      </c>
    </row>
    <row r="14" spans="1:10" x14ac:dyDescent="0.35">
      <c r="A14" s="6">
        <v>6</v>
      </c>
      <c r="B14" s="19" t="str">
        <f>'Data Mentah'!B11</f>
        <v>06/02/2023</v>
      </c>
      <c r="C14" s="19">
        <f>'Data Mentah'!I11</f>
        <v>121</v>
      </c>
      <c r="D14" s="20">
        <f t="shared" si="0"/>
        <v>121.70614410566</v>
      </c>
      <c r="E14" s="20">
        <f t="shared" si="1"/>
        <v>6.7801313955060021</v>
      </c>
      <c r="F14" s="20">
        <f t="shared" si="2"/>
        <v>128.06144105660002</v>
      </c>
      <c r="G14" s="20">
        <f t="shared" si="3"/>
        <v>-7.0614410566000174</v>
      </c>
      <c r="H14" s="20">
        <f t="shared" si="4"/>
        <v>7.0614410566000174</v>
      </c>
      <c r="I14" s="21">
        <f t="shared" si="5"/>
        <v>49.863949795836369</v>
      </c>
      <c r="J14" s="21">
        <f t="shared" si="6"/>
        <v>5.8359016996694359</v>
      </c>
    </row>
    <row r="15" spans="1:10" x14ac:dyDescent="0.35">
      <c r="A15" s="6">
        <v>7</v>
      </c>
      <c r="B15" s="19" t="str">
        <f>'Data Mentah'!B12</f>
        <v>13/02/2023</v>
      </c>
      <c r="C15" s="19">
        <f>'Data Mentah'!I12</f>
        <v>122</v>
      </c>
      <c r="D15" s="20">
        <f t="shared" si="0"/>
        <v>122.6486275501166</v>
      </c>
      <c r="E15" s="20">
        <f t="shared" si="1"/>
        <v>6.1963666004010616</v>
      </c>
      <c r="F15" s="20">
        <f t="shared" si="2"/>
        <v>128.48627550116601</v>
      </c>
      <c r="G15" s="20">
        <f t="shared" si="3"/>
        <v>-6.4862755011660056</v>
      </c>
      <c r="H15" s="20">
        <f t="shared" si="4"/>
        <v>6.4862755011660056</v>
      </c>
      <c r="I15" s="21">
        <f t="shared" si="5"/>
        <v>42.07176987702632</v>
      </c>
      <c r="J15" s="21">
        <f t="shared" si="6"/>
        <v>5.316619263250824</v>
      </c>
    </row>
    <row r="16" spans="1:10" x14ac:dyDescent="0.35">
      <c r="A16" s="6">
        <v>8</v>
      </c>
      <c r="B16" s="19" t="str">
        <f>'Data Mentah'!B13</f>
        <v>20/02/2023</v>
      </c>
      <c r="C16" s="19">
        <f>'Data Mentah'!I13</f>
        <v>122</v>
      </c>
      <c r="D16" s="20">
        <f t="shared" si="0"/>
        <v>122.68449941505176</v>
      </c>
      <c r="E16" s="20">
        <f t="shared" si="1"/>
        <v>5.5803171268544718</v>
      </c>
      <c r="F16" s="20">
        <f t="shared" si="2"/>
        <v>128.84499415051766</v>
      </c>
      <c r="G16" s="20">
        <f t="shared" si="3"/>
        <v>-6.8449941505176639</v>
      </c>
      <c r="H16" s="20">
        <f t="shared" si="4"/>
        <v>6.8449941505176639</v>
      </c>
      <c r="I16" s="21">
        <f t="shared" si="5"/>
        <v>46.853944920621032</v>
      </c>
      <c r="J16" s="21">
        <f t="shared" si="6"/>
        <v>5.6106509430472657</v>
      </c>
    </row>
    <row r="17" spans="1:10" x14ac:dyDescent="0.35">
      <c r="A17" s="6">
        <v>9</v>
      </c>
      <c r="B17" s="19" t="str">
        <f>'Data Mentah'!B14</f>
        <v>27/02/2023</v>
      </c>
      <c r="C17" s="19">
        <f>'Data Mentah'!I14</f>
        <v>123</v>
      </c>
      <c r="D17" s="20">
        <f t="shared" si="0"/>
        <v>123.52648165419062</v>
      </c>
      <c r="E17" s="20">
        <f t="shared" si="1"/>
        <v>5.1064836380829099</v>
      </c>
      <c r="F17" s="20">
        <f t="shared" si="2"/>
        <v>128.26481654190624</v>
      </c>
      <c r="G17" s="20">
        <f t="shared" si="3"/>
        <v>-5.2648165419062423</v>
      </c>
      <c r="H17" s="20">
        <f t="shared" si="4"/>
        <v>5.2648165419062423</v>
      </c>
      <c r="I17" s="21">
        <f t="shared" si="5"/>
        <v>27.718293219929603</v>
      </c>
      <c r="J17" s="21">
        <f t="shared" si="6"/>
        <v>4.2803386519562947</v>
      </c>
    </row>
    <row r="18" spans="1:10" x14ac:dyDescent="0.35">
      <c r="A18" s="6">
        <v>10</v>
      </c>
      <c r="B18" s="19" t="str">
        <f>'Data Mentah'!B15</f>
        <v>06/03/2023</v>
      </c>
      <c r="C18" s="19">
        <f>'Data Mentah'!I15</f>
        <v>121</v>
      </c>
      <c r="D18" s="20">
        <f t="shared" si="0"/>
        <v>121.76329652922736</v>
      </c>
      <c r="E18" s="20">
        <f t="shared" si="1"/>
        <v>4.4195167617782936</v>
      </c>
      <c r="F18" s="20">
        <f t="shared" si="2"/>
        <v>128.63296529227352</v>
      </c>
      <c r="G18" s="20">
        <f t="shared" si="3"/>
        <v>-7.6329652922735249</v>
      </c>
      <c r="H18" s="20">
        <f t="shared" si="4"/>
        <v>7.6329652922735249</v>
      </c>
      <c r="I18" s="21">
        <f t="shared" si="5"/>
        <v>58.262159153052259</v>
      </c>
      <c r="J18" s="21">
        <f t="shared" si="6"/>
        <v>6.3082357787384513</v>
      </c>
    </row>
    <row r="19" spans="1:10" x14ac:dyDescent="0.35">
      <c r="A19" s="6">
        <v>11</v>
      </c>
      <c r="B19" s="19" t="str">
        <f>'Data Mentah'!B16</f>
        <v>13/03/2023</v>
      </c>
      <c r="C19" s="19">
        <f>'Data Mentah'!I16</f>
        <v>116</v>
      </c>
      <c r="D19" s="20">
        <f t="shared" si="0"/>
        <v>117.01828132910057</v>
      </c>
      <c r="E19" s="20">
        <f t="shared" si="1"/>
        <v>3.5030635655877855</v>
      </c>
      <c r="F19" s="20">
        <f t="shared" si="2"/>
        <v>126.18281329100566</v>
      </c>
      <c r="G19" s="20">
        <f t="shared" si="3"/>
        <v>-10.182813291005658</v>
      </c>
      <c r="H19" s="20">
        <f t="shared" si="4"/>
        <v>10.182813291005658</v>
      </c>
      <c r="I19" s="21">
        <f t="shared" si="5"/>
        <v>103.68968651948148</v>
      </c>
      <c r="J19" s="21">
        <f t="shared" si="6"/>
        <v>8.7782873198324651</v>
      </c>
    </row>
    <row r="20" spans="1:10" x14ac:dyDescent="0.35">
      <c r="A20" s="6">
        <v>12</v>
      </c>
      <c r="B20" s="19" t="str">
        <f>'Data Mentah'!B17</f>
        <v>20/03/2023</v>
      </c>
      <c r="C20" s="19">
        <f>'Data Mentah'!I17</f>
        <v>119</v>
      </c>
      <c r="D20" s="20">
        <f t="shared" si="0"/>
        <v>119.15213448946884</v>
      </c>
      <c r="E20" s="20">
        <f t="shared" si="1"/>
        <v>3.3661425250658334</v>
      </c>
      <c r="F20" s="20">
        <f t="shared" si="2"/>
        <v>120.52134489468835</v>
      </c>
      <c r="G20" s="20">
        <f t="shared" si="3"/>
        <v>-1.5213448946883545</v>
      </c>
      <c r="H20" s="20">
        <f t="shared" si="4"/>
        <v>1.5213448946883545</v>
      </c>
      <c r="I20" s="21">
        <f t="shared" si="5"/>
        <v>2.3144902885943206</v>
      </c>
      <c r="J20" s="21">
        <f t="shared" si="6"/>
        <v>1.2784410879734072</v>
      </c>
    </row>
    <row r="21" spans="1:10" x14ac:dyDescent="0.35">
      <c r="A21" s="6">
        <v>13</v>
      </c>
      <c r="B21" s="19" t="str">
        <f>'Data Mentah'!B18</f>
        <v>27/03/2023</v>
      </c>
      <c r="C21" s="19">
        <f>'Data Mentah'!I18</f>
        <v>116</v>
      </c>
      <c r="D21" s="20">
        <f t="shared" si="0"/>
        <v>116.65182770145347</v>
      </c>
      <c r="E21" s="20">
        <f t="shared" si="1"/>
        <v>2.7794975937577138</v>
      </c>
      <c r="F21" s="20">
        <f t="shared" si="2"/>
        <v>122.51827701453468</v>
      </c>
      <c r="G21" s="20">
        <f t="shared" si="3"/>
        <v>-6.5182770145346751</v>
      </c>
      <c r="H21" s="20">
        <f t="shared" si="4"/>
        <v>6.5182770145346751</v>
      </c>
      <c r="I21" s="21">
        <f t="shared" si="5"/>
        <v>42.48793523821108</v>
      </c>
      <c r="J21" s="21">
        <f t="shared" si="6"/>
        <v>5.6192043228747197</v>
      </c>
    </row>
    <row r="22" spans="1:10" x14ac:dyDescent="0.35">
      <c r="A22" s="6">
        <v>14</v>
      </c>
      <c r="B22" s="19" t="str">
        <f>'Data Mentah'!B19</f>
        <v>03/04/2023</v>
      </c>
      <c r="C22" s="19">
        <f>'Data Mentah'!I19</f>
        <v>123</v>
      </c>
      <c r="D22" s="20">
        <f t="shared" si="0"/>
        <v>122.64313252952113</v>
      </c>
      <c r="E22" s="20">
        <f t="shared" si="1"/>
        <v>3.100678317188708</v>
      </c>
      <c r="F22" s="20">
        <f t="shared" si="2"/>
        <v>119.43132529521118</v>
      </c>
      <c r="G22" s="20">
        <f t="shared" si="3"/>
        <v>3.568674704788819</v>
      </c>
      <c r="H22" s="20">
        <f t="shared" si="4"/>
        <v>3.568674704788819</v>
      </c>
      <c r="I22" s="21">
        <f t="shared" si="5"/>
        <v>12.735439148599564</v>
      </c>
      <c r="J22" s="21">
        <f t="shared" si="6"/>
        <v>2.9013615486087958</v>
      </c>
    </row>
    <row r="23" spans="1:10" x14ac:dyDescent="0.35">
      <c r="A23" s="6">
        <v>15</v>
      </c>
      <c r="B23" s="19" t="str">
        <f>'Data Mentah'!B20</f>
        <v>10/04/2023</v>
      </c>
      <c r="C23" s="19">
        <f>'Data Mentah'!I20</f>
        <v>124</v>
      </c>
      <c r="D23" s="20">
        <f t="shared" si="0"/>
        <v>124.17438108467098</v>
      </c>
      <c r="E23" s="20">
        <f t="shared" si="1"/>
        <v>2.9437353409848233</v>
      </c>
      <c r="F23" s="20">
        <f t="shared" si="2"/>
        <v>125.74381084670983</v>
      </c>
      <c r="G23" s="20">
        <f t="shared" si="3"/>
        <v>-1.7438108467098345</v>
      </c>
      <c r="H23" s="20">
        <f t="shared" si="4"/>
        <v>1.7438108467098345</v>
      </c>
      <c r="I23" s="21">
        <f t="shared" si="5"/>
        <v>3.0408762691028701</v>
      </c>
      <c r="J23" s="21">
        <f t="shared" si="6"/>
        <v>1.4062990699272859</v>
      </c>
    </row>
    <row r="24" spans="1:10" x14ac:dyDescent="0.35">
      <c r="A24" s="6">
        <v>16</v>
      </c>
      <c r="B24" s="19" t="str">
        <f>'Data Mentah'!B21</f>
        <v>17/04/2023</v>
      </c>
      <c r="C24" s="19">
        <f>'Data Mentah'!I21</f>
        <v>120</v>
      </c>
      <c r="D24" s="20">
        <f t="shared" si="0"/>
        <v>120.71181164256558</v>
      </c>
      <c r="E24" s="20">
        <f t="shared" si="1"/>
        <v>2.3031048626758004</v>
      </c>
      <c r="F24" s="20">
        <f t="shared" si="2"/>
        <v>127.11811642565581</v>
      </c>
      <c r="G24" s="20">
        <f t="shared" si="3"/>
        <v>-7.1181164256558134</v>
      </c>
      <c r="H24" s="20">
        <f t="shared" si="4"/>
        <v>7.1181164256558134</v>
      </c>
      <c r="I24" s="21">
        <f t="shared" si="5"/>
        <v>50.66758144919109</v>
      </c>
      <c r="J24" s="21">
        <f t="shared" si="6"/>
        <v>5.9317636880465114</v>
      </c>
    </row>
    <row r="25" spans="1:10" x14ac:dyDescent="0.35">
      <c r="A25" s="6">
        <v>17</v>
      </c>
      <c r="B25" s="19" t="str">
        <f>'Data Mentah'!B22</f>
        <v>24/04/2023</v>
      </c>
      <c r="C25" s="19">
        <f>'Data Mentah'!I22</f>
        <v>111</v>
      </c>
      <c r="D25" s="20">
        <f t="shared" si="0"/>
        <v>112.20149165052413</v>
      </c>
      <c r="E25" s="20">
        <f t="shared" si="1"/>
        <v>1.221762377204076</v>
      </c>
      <c r="F25" s="20">
        <f t="shared" si="2"/>
        <v>123.01491650524137</v>
      </c>
      <c r="G25" s="20">
        <f t="shared" si="3"/>
        <v>-12.014916505241374</v>
      </c>
      <c r="H25" s="20">
        <f t="shared" si="4"/>
        <v>12.014916505241374</v>
      </c>
      <c r="I25" s="21">
        <f t="shared" si="5"/>
        <v>144.35821862792159</v>
      </c>
      <c r="J25" s="21">
        <f t="shared" si="6"/>
        <v>10.824249103821057</v>
      </c>
    </row>
    <row r="26" spans="1:10" x14ac:dyDescent="0.35">
      <c r="A26" s="6">
        <v>18</v>
      </c>
      <c r="B26" s="19" t="str">
        <f>'Data Mentah'!B23</f>
        <v>01/05/2023</v>
      </c>
      <c r="C26" s="19">
        <f>'Data Mentah'!I23</f>
        <v>107</v>
      </c>
      <c r="D26" s="20">
        <f t="shared" si="0"/>
        <v>107.64232540277281</v>
      </c>
      <c r="E26" s="20">
        <f t="shared" si="1"/>
        <v>0.64366951470853628</v>
      </c>
      <c r="F26" s="20">
        <f t="shared" si="2"/>
        <v>113.42325402772821</v>
      </c>
      <c r="G26" s="20">
        <f t="shared" si="3"/>
        <v>-6.4232540277282055</v>
      </c>
      <c r="H26" s="20">
        <f t="shared" si="4"/>
        <v>6.4232540277282055</v>
      </c>
      <c r="I26" s="21">
        <f t="shared" si="5"/>
        <v>41.258192304726613</v>
      </c>
      <c r="J26" s="21">
        <f t="shared" si="6"/>
        <v>6.0030411474095384</v>
      </c>
    </row>
    <row r="27" spans="1:10" x14ac:dyDescent="0.35">
      <c r="A27" s="6">
        <v>19</v>
      </c>
      <c r="B27" s="19" t="str">
        <f>'Data Mentah'!B24</f>
        <v>08/05/2023</v>
      </c>
      <c r="C27" s="19">
        <f>'Data Mentah'!I24</f>
        <v>120</v>
      </c>
      <c r="D27" s="20">
        <f t="shared" si="0"/>
        <v>118.82859949174814</v>
      </c>
      <c r="E27" s="20">
        <f t="shared" si="1"/>
        <v>1.6979299721352152</v>
      </c>
      <c r="F27" s="20">
        <f t="shared" si="2"/>
        <v>108.28599491748135</v>
      </c>
      <c r="G27" s="20">
        <f t="shared" si="3"/>
        <v>11.714005082518653</v>
      </c>
      <c r="H27" s="20">
        <f t="shared" si="4"/>
        <v>11.714005082518653</v>
      </c>
      <c r="I27" s="21">
        <f t="shared" si="5"/>
        <v>137.21791507327285</v>
      </c>
      <c r="J27" s="21">
        <f t="shared" si="6"/>
        <v>9.7616709020988779</v>
      </c>
    </row>
    <row r="28" spans="1:10" x14ac:dyDescent="0.35">
      <c r="A28" s="6">
        <v>20</v>
      </c>
      <c r="B28" s="19" t="str">
        <f>'Data Mentah'!B25</f>
        <v>15/05/2023</v>
      </c>
      <c r="C28" s="19">
        <f>'Data Mentah'!I25</f>
        <v>128</v>
      </c>
      <c r="D28" s="20">
        <f t="shared" si="0"/>
        <v>127.25265294638834</v>
      </c>
      <c r="E28" s="20">
        <f t="shared" si="1"/>
        <v>2.3705423203857139</v>
      </c>
      <c r="F28" s="20">
        <f t="shared" si="2"/>
        <v>120.52652946388335</v>
      </c>
      <c r="G28" s="20">
        <f t="shared" si="3"/>
        <v>7.4734705361166505</v>
      </c>
      <c r="H28" s="20">
        <f t="shared" si="4"/>
        <v>7.4734705361166505</v>
      </c>
      <c r="I28" s="21">
        <f t="shared" si="5"/>
        <v>55.852761854203692</v>
      </c>
      <c r="J28" s="21">
        <f t="shared" si="6"/>
        <v>5.8386488563411332</v>
      </c>
    </row>
    <row r="29" spans="1:10" x14ac:dyDescent="0.35">
      <c r="A29" s="6">
        <v>21</v>
      </c>
      <c r="B29" s="19" t="str">
        <f>'Data Mentah'!B26</f>
        <v>22/05/2023</v>
      </c>
      <c r="C29" s="19">
        <f>'Data Mentah'!I26</f>
        <v>131</v>
      </c>
      <c r="D29" s="20">
        <f t="shared" si="0"/>
        <v>130.8623195266774</v>
      </c>
      <c r="E29" s="20">
        <f t="shared" si="1"/>
        <v>2.4944547463760487</v>
      </c>
      <c r="F29" s="20">
        <f t="shared" si="2"/>
        <v>129.62319526677405</v>
      </c>
      <c r="G29" s="20">
        <f t="shared" si="3"/>
        <v>1.3768047332259528</v>
      </c>
      <c r="H29" s="20">
        <f t="shared" si="4"/>
        <v>1.3768047332259528</v>
      </c>
      <c r="I29" s="21">
        <f t="shared" si="5"/>
        <v>1.8955912734333868</v>
      </c>
      <c r="J29" s="21">
        <f t="shared" si="6"/>
        <v>1.050995979561796</v>
      </c>
    </row>
    <row r="30" spans="1:10" x14ac:dyDescent="0.35">
      <c r="A30" s="6">
        <v>22</v>
      </c>
      <c r="B30" s="19" t="str">
        <f>'Data Mentah'!B27</f>
        <v>29/05/2023</v>
      </c>
      <c r="C30" s="19">
        <f>'Data Mentah'!I27</f>
        <v>134</v>
      </c>
      <c r="D30" s="20">
        <f t="shared" si="0"/>
        <v>133.93567742730534</v>
      </c>
      <c r="E30" s="20">
        <f t="shared" si="1"/>
        <v>2.5523450618012378</v>
      </c>
      <c r="F30" s="20">
        <f t="shared" si="2"/>
        <v>133.35677427305345</v>
      </c>
      <c r="G30" s="20">
        <f t="shared" si="3"/>
        <v>0.64322572694655378</v>
      </c>
      <c r="H30" s="20">
        <f t="shared" si="4"/>
        <v>0.64322572694655378</v>
      </c>
      <c r="I30" s="21">
        <f t="shared" si="5"/>
        <v>0.41373933580592254</v>
      </c>
      <c r="J30" s="21">
        <f t="shared" si="6"/>
        <v>0.48001919921384612</v>
      </c>
    </row>
    <row r="31" spans="1:10" x14ac:dyDescent="0.35">
      <c r="A31" s="6">
        <v>23</v>
      </c>
      <c r="B31" s="19" t="str">
        <f>'Data Mentah'!B28</f>
        <v>05/06/2023</v>
      </c>
      <c r="C31" s="19">
        <f>'Data Mentah'!I28</f>
        <v>116</v>
      </c>
      <c r="D31" s="20">
        <f t="shared" si="0"/>
        <v>118.04880224891066</v>
      </c>
      <c r="E31" s="20">
        <f t="shared" si="1"/>
        <v>0.7084230377816465</v>
      </c>
      <c r="F31" s="20">
        <f t="shared" si="2"/>
        <v>136.48802248910658</v>
      </c>
      <c r="G31" s="20">
        <f t="shared" si="3"/>
        <v>-20.488022489106584</v>
      </c>
      <c r="H31" s="20">
        <f t="shared" si="4"/>
        <v>20.488022489106584</v>
      </c>
      <c r="I31" s="21">
        <f t="shared" si="5"/>
        <v>419.75906551413715</v>
      </c>
      <c r="J31" s="21">
        <f t="shared" si="6"/>
        <v>17.66208835267809</v>
      </c>
    </row>
    <row r="32" spans="1:10" x14ac:dyDescent="0.35">
      <c r="A32" s="6">
        <v>24</v>
      </c>
      <c r="B32" s="19" t="str">
        <f>'Data Mentah'!B29</f>
        <v>12/06/2023</v>
      </c>
      <c r="C32" s="19">
        <f>'Data Mentah'!I29</f>
        <v>118</v>
      </c>
      <c r="D32" s="20">
        <f t="shared" si="0"/>
        <v>118.07572252866923</v>
      </c>
      <c r="E32" s="20">
        <f t="shared" si="1"/>
        <v>0.64027276197933902</v>
      </c>
      <c r="F32" s="20">
        <f t="shared" si="2"/>
        <v>118.7572252866923</v>
      </c>
      <c r="G32" s="20">
        <f t="shared" si="3"/>
        <v>-0.75722528669230371</v>
      </c>
      <c r="H32" s="20">
        <f t="shared" si="4"/>
        <v>0.75722528669230371</v>
      </c>
      <c r="I32" s="21">
        <f t="shared" si="5"/>
        <v>0.57339013480624157</v>
      </c>
      <c r="J32" s="21">
        <f t="shared" si="6"/>
        <v>0.64171634465449467</v>
      </c>
    </row>
    <row r="33" spans="1:10" x14ac:dyDescent="0.35">
      <c r="A33" s="6">
        <v>25</v>
      </c>
      <c r="B33" s="19" t="str">
        <f>'Data Mentah'!B30</f>
        <v>19/06/2023</v>
      </c>
      <c r="C33" s="19">
        <f>'Data Mentah'!I30</f>
        <v>127</v>
      </c>
      <c r="D33" s="20">
        <f t="shared" si="0"/>
        <v>126.17159952906485</v>
      </c>
      <c r="E33" s="20">
        <f t="shared" si="1"/>
        <v>1.3858331858209669</v>
      </c>
      <c r="F33" s="20">
        <f t="shared" si="2"/>
        <v>118.71599529064856</v>
      </c>
      <c r="G33" s="20">
        <f t="shared" si="3"/>
        <v>8.2840047093514357</v>
      </c>
      <c r="H33" s="20">
        <f t="shared" si="4"/>
        <v>8.2840047093514357</v>
      </c>
      <c r="I33" s="21">
        <f t="shared" si="5"/>
        <v>68.624734024556759</v>
      </c>
      <c r="J33" s="21">
        <f t="shared" si="6"/>
        <v>6.5228383538200276</v>
      </c>
    </row>
    <row r="34" spans="1:10" x14ac:dyDescent="0.35">
      <c r="A34" s="6">
        <v>26</v>
      </c>
      <c r="B34" s="19" t="str">
        <f>'Data Mentah'!B31</f>
        <v>26/06/2023</v>
      </c>
      <c r="C34" s="19">
        <f>'Data Mentah'!I31</f>
        <v>134</v>
      </c>
      <c r="D34" s="20">
        <f t="shared" si="0"/>
        <v>133.35574327148859</v>
      </c>
      <c r="E34" s="20">
        <f t="shared" si="1"/>
        <v>1.9656642414812446</v>
      </c>
      <c r="F34" s="20">
        <f t="shared" si="2"/>
        <v>127.55743271488582</v>
      </c>
      <c r="G34" s="20">
        <f t="shared" si="3"/>
        <v>6.4425672851141798</v>
      </c>
      <c r="H34" s="20">
        <f t="shared" si="4"/>
        <v>6.4425672851141798</v>
      </c>
      <c r="I34" s="21">
        <f t="shared" si="5"/>
        <v>41.506673223223494</v>
      </c>
      <c r="J34" s="21">
        <f t="shared" si="6"/>
        <v>4.8078860336672982</v>
      </c>
    </row>
    <row r="35" spans="1:10" x14ac:dyDescent="0.35">
      <c r="A35" s="6">
        <v>27</v>
      </c>
      <c r="B35" s="19" t="str">
        <f>'Data Mentah'!B32</f>
        <v>03/07/2023</v>
      </c>
      <c r="C35" s="19">
        <f>'Data Mentah'!I32</f>
        <v>138</v>
      </c>
      <c r="D35" s="20">
        <f t="shared" si="0"/>
        <v>137.73214075129698</v>
      </c>
      <c r="E35" s="20">
        <f t="shared" si="1"/>
        <v>2.2067375653139591</v>
      </c>
      <c r="F35" s="20">
        <f t="shared" si="2"/>
        <v>135.32140751296984</v>
      </c>
      <c r="G35" s="20">
        <f t="shared" si="3"/>
        <v>2.6785924870301585</v>
      </c>
      <c r="H35" s="20">
        <f t="shared" si="4"/>
        <v>2.6785924870301585</v>
      </c>
      <c r="I35" s="21">
        <f t="shared" si="5"/>
        <v>7.1748577115744094</v>
      </c>
      <c r="J35" s="21">
        <f t="shared" si="6"/>
        <v>1.9410090485725788</v>
      </c>
    </row>
    <row r="36" spans="1:10" x14ac:dyDescent="0.35">
      <c r="A36" s="6">
        <v>28</v>
      </c>
      <c r="B36" s="19" t="str">
        <f>'Data Mentah'!B33</f>
        <v>10/07/2023</v>
      </c>
      <c r="C36" s="19">
        <f>'Data Mentah'!I33</f>
        <v>135</v>
      </c>
      <c r="D36" s="20">
        <f t="shared" si="0"/>
        <v>135.49388783166108</v>
      </c>
      <c r="E36" s="20">
        <f t="shared" si="1"/>
        <v>1.7622385168189736</v>
      </c>
      <c r="F36" s="20">
        <f t="shared" si="2"/>
        <v>139.93887831661095</v>
      </c>
      <c r="G36" s="20">
        <f t="shared" si="3"/>
        <v>-4.9388783166109533</v>
      </c>
      <c r="H36" s="20">
        <f t="shared" si="4"/>
        <v>4.9388783166109533</v>
      </c>
      <c r="I36" s="21">
        <f t="shared" si="5"/>
        <v>24.392519026289843</v>
      </c>
      <c r="J36" s="21">
        <f t="shared" si="6"/>
        <v>3.6584283826747805</v>
      </c>
    </row>
    <row r="37" spans="1:10" x14ac:dyDescent="0.35">
      <c r="A37" s="6">
        <v>29</v>
      </c>
      <c r="B37" s="19" t="str">
        <f>'Data Mentah'!B34</f>
        <v>17/07/2023</v>
      </c>
      <c r="C37" s="19">
        <f>'Data Mentah'!I34</f>
        <v>136</v>
      </c>
      <c r="D37" s="20">
        <f t="shared" si="0"/>
        <v>136.12561263484801</v>
      </c>
      <c r="E37" s="20">
        <f t="shared" si="1"/>
        <v>1.6491871454557689</v>
      </c>
      <c r="F37" s="20">
        <f t="shared" si="2"/>
        <v>137.25612634848005</v>
      </c>
      <c r="G37" s="20">
        <f t="shared" si="3"/>
        <v>-1.256126348480052</v>
      </c>
      <c r="H37" s="20">
        <f t="shared" si="4"/>
        <v>1.256126348480052</v>
      </c>
      <c r="I37" s="21">
        <f t="shared" si="5"/>
        <v>1.5778534033458291</v>
      </c>
      <c r="J37" s="21">
        <f t="shared" si="6"/>
        <v>0.92362231505886183</v>
      </c>
    </row>
    <row r="38" spans="1:10" x14ac:dyDescent="0.35">
      <c r="A38" s="6">
        <v>30</v>
      </c>
      <c r="B38" s="19" t="str">
        <f>'Data Mentah'!B35</f>
        <v>24/07/2023</v>
      </c>
      <c r="C38" s="19">
        <f>'Data Mentah'!I35</f>
        <v>126</v>
      </c>
      <c r="D38" s="20">
        <f t="shared" si="0"/>
        <v>127.17747997803038</v>
      </c>
      <c r="E38" s="20">
        <f t="shared" si="1"/>
        <v>0.58945516522842867</v>
      </c>
      <c r="F38" s="20">
        <f t="shared" si="2"/>
        <v>137.77479978030377</v>
      </c>
      <c r="G38" s="20">
        <f t="shared" si="3"/>
        <v>-11.774799780303766</v>
      </c>
      <c r="H38" s="20">
        <f t="shared" si="4"/>
        <v>11.774799780303766</v>
      </c>
      <c r="I38" s="21">
        <f t="shared" si="5"/>
        <v>138.64590986624162</v>
      </c>
      <c r="J38" s="21">
        <f t="shared" si="6"/>
        <v>9.345079190717275</v>
      </c>
    </row>
    <row r="39" spans="1:10" x14ac:dyDescent="0.35">
      <c r="A39" s="6">
        <v>31</v>
      </c>
      <c r="B39" s="19" t="str">
        <f>'Data Mentah'!B36</f>
        <v>31/07/2023</v>
      </c>
      <c r="C39" s="19">
        <f>'Data Mentah'!I36</f>
        <v>120</v>
      </c>
      <c r="D39" s="20">
        <f t="shared" si="0"/>
        <v>120.77669351432587</v>
      </c>
      <c r="E39" s="20">
        <f t="shared" si="1"/>
        <v>-0.10956899766486483</v>
      </c>
      <c r="F39" s="20">
        <f t="shared" si="2"/>
        <v>127.76693514325881</v>
      </c>
      <c r="G39" s="20">
        <f t="shared" si="3"/>
        <v>-7.7669351432588059</v>
      </c>
      <c r="H39" s="20">
        <f t="shared" si="4"/>
        <v>7.7669351432588059</v>
      </c>
      <c r="I39" s="21">
        <f t="shared" si="5"/>
        <v>60.325281519588685</v>
      </c>
      <c r="J39" s="21">
        <f t="shared" si="6"/>
        <v>6.4724459527156721</v>
      </c>
    </row>
    <row r="40" spans="1:10" x14ac:dyDescent="0.35">
      <c r="A40" s="6">
        <v>32</v>
      </c>
      <c r="B40" s="19" t="str">
        <f>'Data Mentah'!B37</f>
        <v>07/08/2023</v>
      </c>
      <c r="C40" s="19">
        <f>'Data Mentah'!I37</f>
        <v>118</v>
      </c>
      <c r="D40" s="20">
        <f t="shared" si="0"/>
        <v>118.26671245166609</v>
      </c>
      <c r="E40" s="20">
        <f t="shared" si="1"/>
        <v>-0.34961020416435595</v>
      </c>
      <c r="F40" s="20">
        <f t="shared" si="2"/>
        <v>120.667124516661</v>
      </c>
      <c r="G40" s="20">
        <f t="shared" si="3"/>
        <v>-2.6671245166610049</v>
      </c>
      <c r="H40" s="20">
        <f t="shared" si="4"/>
        <v>2.6671245166610049</v>
      </c>
      <c r="I40" s="21">
        <f t="shared" si="5"/>
        <v>7.1135531873741993</v>
      </c>
      <c r="J40" s="21">
        <f t="shared" si="6"/>
        <v>2.2602750141194958</v>
      </c>
    </row>
    <row r="41" spans="1:10" x14ac:dyDescent="0.35">
      <c r="A41" s="6">
        <v>33</v>
      </c>
      <c r="B41" s="19" t="str">
        <f>'Data Mentah'!B38</f>
        <v>14/08/2023</v>
      </c>
      <c r="C41" s="19">
        <f>'Data Mentah'!I38</f>
        <v>115</v>
      </c>
      <c r="D41" s="20">
        <f t="shared" ref="D41:D72" si="7">$E$4*C41+(1-$E$4)*(D40+E40)</f>
        <v>115.29171022475018</v>
      </c>
      <c r="E41" s="20">
        <f t="shared" ref="E41:E72" si="8">$H$4*(D41-D40)+(1-$H$4)*E40</f>
        <v>-0.61214940643951232</v>
      </c>
      <c r="F41" s="20">
        <f t="shared" ref="F41:F72" si="9">D40+E40</f>
        <v>117.91710224750175</v>
      </c>
      <c r="G41" s="20">
        <f t="shared" ref="G41:G72" si="10">C41-F41</f>
        <v>-2.9171022475017452</v>
      </c>
      <c r="H41" s="20">
        <f t="shared" ref="H41:H72" si="11">ABS(G41)</f>
        <v>2.9171022475017452</v>
      </c>
      <c r="I41" s="21">
        <f t="shared" ref="I41:I72" si="12">G41^2</f>
        <v>8.5094855223797339</v>
      </c>
      <c r="J41" s="21">
        <f t="shared" ref="J41:J72" si="13">ABS(G41/C41)*100</f>
        <v>2.5366106500015175</v>
      </c>
    </row>
    <row r="42" spans="1:10" x14ac:dyDescent="0.35">
      <c r="A42" s="6">
        <v>34</v>
      </c>
      <c r="B42" s="19" t="str">
        <f>'Data Mentah'!B39</f>
        <v>21/08/2023</v>
      </c>
      <c r="C42" s="19">
        <f>'Data Mentah'!I39</f>
        <v>115</v>
      </c>
      <c r="D42" s="20">
        <f t="shared" si="7"/>
        <v>114.96795608183106</v>
      </c>
      <c r="E42" s="20">
        <f t="shared" si="8"/>
        <v>-0.58330988008747253</v>
      </c>
      <c r="F42" s="20">
        <f t="shared" si="9"/>
        <v>114.67956081831066</v>
      </c>
      <c r="G42" s="20">
        <f t="shared" si="10"/>
        <v>0.32043918168933772</v>
      </c>
      <c r="H42" s="20">
        <f t="shared" si="11"/>
        <v>0.32043918168933772</v>
      </c>
      <c r="I42" s="21">
        <f t="shared" si="12"/>
        <v>0.10268126916173238</v>
      </c>
      <c r="J42" s="21">
        <f t="shared" si="13"/>
        <v>0.27864276668638061</v>
      </c>
    </row>
    <row r="43" spans="1:10" x14ac:dyDescent="0.35">
      <c r="A43" s="6">
        <v>35</v>
      </c>
      <c r="B43" s="19" t="str">
        <f>'Data Mentah'!B40</f>
        <v>28/08/2023</v>
      </c>
      <c r="C43" s="19">
        <f>'Data Mentah'!I40</f>
        <v>116</v>
      </c>
      <c r="D43" s="20">
        <f t="shared" si="7"/>
        <v>115.83846462017436</v>
      </c>
      <c r="E43" s="20">
        <f t="shared" si="8"/>
        <v>-0.43792803824439513</v>
      </c>
      <c r="F43" s="20">
        <f t="shared" si="9"/>
        <v>114.38464620174359</v>
      </c>
      <c r="G43" s="20">
        <f t="shared" si="10"/>
        <v>1.6153537982564075</v>
      </c>
      <c r="H43" s="20">
        <f t="shared" si="11"/>
        <v>1.6153537982564075</v>
      </c>
      <c r="I43" s="21">
        <f t="shared" si="12"/>
        <v>2.6093678935414024</v>
      </c>
      <c r="J43" s="21">
        <f t="shared" si="13"/>
        <v>1.3925463778072478</v>
      </c>
    </row>
    <row r="44" spans="1:10" x14ac:dyDescent="0.35">
      <c r="A44" s="6">
        <v>36</v>
      </c>
      <c r="B44" s="19" t="str">
        <f>'Data Mentah'!B41</f>
        <v>04/09/2023</v>
      </c>
      <c r="C44" s="19">
        <f>'Data Mentah'!I41</f>
        <v>115</v>
      </c>
      <c r="D44" s="20">
        <f t="shared" si="7"/>
        <v>115.04005365819299</v>
      </c>
      <c r="E44" s="20">
        <f t="shared" si="8"/>
        <v>-0.47397633061809313</v>
      </c>
      <c r="F44" s="20">
        <f t="shared" si="9"/>
        <v>115.40053658192997</v>
      </c>
      <c r="G44" s="20">
        <f t="shared" si="10"/>
        <v>-0.40053658192996977</v>
      </c>
      <c r="H44" s="20">
        <f t="shared" si="11"/>
        <v>0.40053658192996977</v>
      </c>
      <c r="I44" s="21">
        <f t="shared" si="12"/>
        <v>0.16042955346414339</v>
      </c>
      <c r="J44" s="21">
        <f t="shared" si="13"/>
        <v>0.34829267993910418</v>
      </c>
    </row>
    <row r="45" spans="1:10" x14ac:dyDescent="0.35">
      <c r="A45" s="6">
        <v>37</v>
      </c>
      <c r="B45" s="19" t="str">
        <f>'Data Mentah'!B42</f>
        <v>11/09/2023</v>
      </c>
      <c r="C45" s="19">
        <f>'Data Mentah'!I42</f>
        <v>112</v>
      </c>
      <c r="D45" s="20">
        <f t="shared" si="7"/>
        <v>112.25660773275749</v>
      </c>
      <c r="E45" s="20">
        <f t="shared" si="8"/>
        <v>-0.7049232900998339</v>
      </c>
      <c r="F45" s="20">
        <f t="shared" si="9"/>
        <v>114.5660773275749</v>
      </c>
      <c r="G45" s="20">
        <f t="shared" si="10"/>
        <v>-2.5660773275749023</v>
      </c>
      <c r="H45" s="20">
        <f t="shared" si="11"/>
        <v>2.5660773275749023</v>
      </c>
      <c r="I45" s="21">
        <f t="shared" si="12"/>
        <v>6.5847528510939526</v>
      </c>
      <c r="J45" s="21">
        <f t="shared" si="13"/>
        <v>2.2911404710490197</v>
      </c>
    </row>
    <row r="46" spans="1:10" x14ac:dyDescent="0.35">
      <c r="A46" s="6">
        <v>38</v>
      </c>
      <c r="B46" s="19" t="str">
        <f>'Data Mentah'!B43</f>
        <v>18/09/2023</v>
      </c>
      <c r="C46" s="19">
        <f>'Data Mentah'!I43</f>
        <v>113</v>
      </c>
      <c r="D46" s="20">
        <f t="shared" si="7"/>
        <v>112.85516844426577</v>
      </c>
      <c r="E46" s="20">
        <f t="shared" si="8"/>
        <v>-0.57457488993902206</v>
      </c>
      <c r="F46" s="20">
        <f t="shared" si="9"/>
        <v>111.55168444265766</v>
      </c>
      <c r="G46" s="20">
        <f t="shared" si="10"/>
        <v>1.4483155573423403</v>
      </c>
      <c r="H46" s="20">
        <f t="shared" si="11"/>
        <v>1.4483155573423403</v>
      </c>
      <c r="I46" s="21">
        <f t="shared" si="12"/>
        <v>2.0976179536398538</v>
      </c>
      <c r="J46" s="21">
        <f t="shared" si="13"/>
        <v>1.2816951834887969</v>
      </c>
    </row>
    <row r="47" spans="1:10" x14ac:dyDescent="0.35">
      <c r="A47" s="6">
        <v>39</v>
      </c>
      <c r="B47" s="19" t="str">
        <f>'Data Mentah'!B44</f>
        <v>25/09/2023</v>
      </c>
      <c r="C47" s="19">
        <f>'Data Mentah'!I44</f>
        <v>113</v>
      </c>
      <c r="D47" s="20">
        <f t="shared" si="7"/>
        <v>112.92805935543268</v>
      </c>
      <c r="E47" s="20">
        <f t="shared" si="8"/>
        <v>-0.50982830982842897</v>
      </c>
      <c r="F47" s="20">
        <f t="shared" si="9"/>
        <v>112.28059355432676</v>
      </c>
      <c r="G47" s="20">
        <f t="shared" si="10"/>
        <v>0.71940644567324341</v>
      </c>
      <c r="H47" s="20">
        <f t="shared" si="11"/>
        <v>0.71940644567324341</v>
      </c>
      <c r="I47" s="21">
        <f t="shared" si="12"/>
        <v>0.51754563407620935</v>
      </c>
      <c r="J47" s="21">
        <f t="shared" si="13"/>
        <v>0.63664287227720662</v>
      </c>
    </row>
    <row r="48" spans="1:10" x14ac:dyDescent="0.35">
      <c r="A48" s="6">
        <v>40</v>
      </c>
      <c r="B48" s="19" t="str">
        <f>'Data Mentah'!B45</f>
        <v>02/10/2023</v>
      </c>
      <c r="C48" s="19">
        <f>'Data Mentah'!I45</f>
        <v>111</v>
      </c>
      <c r="D48" s="20">
        <f t="shared" si="7"/>
        <v>111.14182310456043</v>
      </c>
      <c r="E48" s="20">
        <f t="shared" si="8"/>
        <v>-0.63746910393281109</v>
      </c>
      <c r="F48" s="20">
        <f t="shared" si="9"/>
        <v>112.41823104560424</v>
      </c>
      <c r="G48" s="20">
        <f t="shared" si="10"/>
        <v>-1.4182310456042444</v>
      </c>
      <c r="H48" s="20">
        <f t="shared" si="11"/>
        <v>1.4182310456042444</v>
      </c>
      <c r="I48" s="21">
        <f t="shared" si="12"/>
        <v>2.0113792987157084</v>
      </c>
      <c r="J48" s="21">
        <f t="shared" si="13"/>
        <v>1.2776856266704903</v>
      </c>
    </row>
    <row r="49" spans="1:10" x14ac:dyDescent="0.35">
      <c r="A49" s="6">
        <v>41</v>
      </c>
      <c r="B49" s="19" t="str">
        <f>'Data Mentah'!B46</f>
        <v>09/10/2023</v>
      </c>
      <c r="C49" s="19">
        <f>'Data Mentah'!I46</f>
        <v>118</v>
      </c>
      <c r="D49" s="20">
        <f t="shared" si="7"/>
        <v>117.25043540006276</v>
      </c>
      <c r="E49" s="20">
        <f t="shared" si="8"/>
        <v>3.7139036010702564E-2</v>
      </c>
      <c r="F49" s="20">
        <f t="shared" si="9"/>
        <v>110.50435400062761</v>
      </c>
      <c r="G49" s="20">
        <f t="shared" si="10"/>
        <v>7.4956459993723854</v>
      </c>
      <c r="H49" s="20">
        <f t="shared" si="11"/>
        <v>7.4956459993723854</v>
      </c>
      <c r="I49" s="21">
        <f t="shared" si="12"/>
        <v>56.184708947907247</v>
      </c>
      <c r="J49" s="21">
        <f t="shared" si="13"/>
        <v>6.3522423723494787</v>
      </c>
    </row>
    <row r="50" spans="1:10" x14ac:dyDescent="0.35">
      <c r="A50" s="6">
        <v>42</v>
      </c>
      <c r="B50" s="19" t="str">
        <f>'Data Mentah'!B47</f>
        <v>16/10/2023</v>
      </c>
      <c r="C50" s="19">
        <f>'Data Mentah'!I47</f>
        <v>119</v>
      </c>
      <c r="D50" s="20">
        <f t="shared" si="7"/>
        <v>118.82875744360734</v>
      </c>
      <c r="E50" s="20">
        <f t="shared" si="8"/>
        <v>0.19125733676409118</v>
      </c>
      <c r="F50" s="20">
        <f t="shared" si="9"/>
        <v>117.28757443607346</v>
      </c>
      <c r="G50" s="20">
        <f t="shared" si="10"/>
        <v>1.7124255639265442</v>
      </c>
      <c r="H50" s="20">
        <f t="shared" si="11"/>
        <v>1.7124255639265442</v>
      </c>
      <c r="I50" s="21">
        <f t="shared" si="12"/>
        <v>2.932401311989143</v>
      </c>
      <c r="J50" s="21">
        <f t="shared" si="13"/>
        <v>1.4390130789298692</v>
      </c>
    </row>
    <row r="51" spans="1:10" x14ac:dyDescent="0.35">
      <c r="A51" s="6">
        <v>43</v>
      </c>
      <c r="B51" s="19" t="str">
        <f>'Data Mentah'!B48</f>
        <v>23/10/2023</v>
      </c>
      <c r="C51" s="19">
        <f>'Data Mentah'!I48</f>
        <v>133</v>
      </c>
      <c r="D51" s="20">
        <f t="shared" si="7"/>
        <v>131.60200147803715</v>
      </c>
      <c r="E51" s="20">
        <f t="shared" si="8"/>
        <v>1.449456006530663</v>
      </c>
      <c r="F51" s="20">
        <f t="shared" si="9"/>
        <v>119.02001478037144</v>
      </c>
      <c r="G51" s="20">
        <f t="shared" si="10"/>
        <v>13.97998521962856</v>
      </c>
      <c r="H51" s="20">
        <f t="shared" si="11"/>
        <v>13.97998521962856</v>
      </c>
      <c r="I51" s="21">
        <f t="shared" si="12"/>
        <v>195.43998674103298</v>
      </c>
      <c r="J51" s="21">
        <f t="shared" si="13"/>
        <v>10.511267082427489</v>
      </c>
    </row>
    <row r="52" spans="1:10" x14ac:dyDescent="0.35">
      <c r="A52" s="6">
        <v>44</v>
      </c>
      <c r="B52" s="19" t="str">
        <f>'Data Mentah'!B49</f>
        <v>30/10/2023</v>
      </c>
      <c r="C52" s="19">
        <f>'Data Mentah'!I49</f>
        <v>136</v>
      </c>
      <c r="D52" s="20">
        <f t="shared" si="7"/>
        <v>135.70514574845677</v>
      </c>
      <c r="E52" s="20">
        <f t="shared" si="8"/>
        <v>1.7148248329195588</v>
      </c>
      <c r="F52" s="20">
        <f t="shared" si="9"/>
        <v>133.05145748456781</v>
      </c>
      <c r="G52" s="20">
        <f t="shared" si="10"/>
        <v>2.9485425154321945</v>
      </c>
      <c r="H52" s="20">
        <f t="shared" si="11"/>
        <v>2.9485425154321945</v>
      </c>
      <c r="I52" s="21">
        <f t="shared" si="12"/>
        <v>8.6939029653112136</v>
      </c>
      <c r="J52" s="21">
        <f t="shared" si="13"/>
        <v>2.1680459672295549</v>
      </c>
    </row>
    <row r="53" spans="1:10" x14ac:dyDescent="0.35">
      <c r="A53" s="6">
        <v>45</v>
      </c>
      <c r="B53" s="19" t="str">
        <f>'Data Mentah'!B50</f>
        <v>06/11/2023</v>
      </c>
      <c r="C53" s="19">
        <f>'Data Mentah'!I50</f>
        <v>130</v>
      </c>
      <c r="D53" s="20">
        <f t="shared" si="7"/>
        <v>130.74199705813763</v>
      </c>
      <c r="E53" s="20">
        <f t="shared" si="8"/>
        <v>1.0470274805956885</v>
      </c>
      <c r="F53" s="20">
        <f t="shared" si="9"/>
        <v>137.41997058137633</v>
      </c>
      <c r="G53" s="20">
        <f t="shared" si="10"/>
        <v>-7.419970581376333</v>
      </c>
      <c r="H53" s="20">
        <f t="shared" si="11"/>
        <v>7.419970581376333</v>
      </c>
      <c r="I53" s="21">
        <f t="shared" si="12"/>
        <v>55.055963428490237</v>
      </c>
      <c r="J53" s="21">
        <f t="shared" si="13"/>
        <v>5.7076696779817953</v>
      </c>
    </row>
    <row r="54" spans="1:10" x14ac:dyDescent="0.35">
      <c r="A54" s="6">
        <v>46</v>
      </c>
      <c r="B54" s="19" t="str">
        <f>'Data Mentah'!B51</f>
        <v>13/11/2023</v>
      </c>
      <c r="C54" s="19">
        <f>'Data Mentah'!I51</f>
        <v>129</v>
      </c>
      <c r="D54" s="20">
        <f t="shared" si="7"/>
        <v>129.27890245387334</v>
      </c>
      <c r="E54" s="20">
        <f t="shared" si="8"/>
        <v>0.79601527210969125</v>
      </c>
      <c r="F54" s="20">
        <f t="shared" si="9"/>
        <v>131.78902453873332</v>
      </c>
      <c r="G54" s="20">
        <f t="shared" si="10"/>
        <v>-2.7890245387333152</v>
      </c>
      <c r="H54" s="20">
        <f t="shared" si="11"/>
        <v>2.7890245387333152</v>
      </c>
      <c r="I54" s="21">
        <f t="shared" si="12"/>
        <v>7.778657877656582</v>
      </c>
      <c r="J54" s="21">
        <f t="shared" si="13"/>
        <v>2.1620345261498568</v>
      </c>
    </row>
    <row r="55" spans="1:10" x14ac:dyDescent="0.35">
      <c r="A55" s="6">
        <v>47</v>
      </c>
      <c r="B55" s="19" t="str">
        <f>'Data Mentah'!B52</f>
        <v>20/11/2023</v>
      </c>
      <c r="C55" s="19">
        <f>'Data Mentah'!I52</f>
        <v>120</v>
      </c>
      <c r="D55" s="20">
        <f t="shared" si="7"/>
        <v>121.0074917725983</v>
      </c>
      <c r="E55" s="20">
        <f t="shared" si="8"/>
        <v>-0.1107273232287822</v>
      </c>
      <c r="F55" s="20">
        <f t="shared" si="9"/>
        <v>130.07491772598303</v>
      </c>
      <c r="G55" s="20">
        <f t="shared" si="10"/>
        <v>-10.074917725983028</v>
      </c>
      <c r="H55" s="20">
        <f t="shared" si="11"/>
        <v>10.074917725983028</v>
      </c>
      <c r="I55" s="21">
        <f t="shared" si="12"/>
        <v>101.50396718532701</v>
      </c>
      <c r="J55" s="21">
        <f t="shared" si="13"/>
        <v>8.395764771652523</v>
      </c>
    </row>
    <row r="56" spans="1:10" x14ac:dyDescent="0.35">
      <c r="A56" s="6">
        <v>48</v>
      </c>
      <c r="B56" s="19" t="str">
        <f>'Data Mentah'!B53</f>
        <v>27/11/2023</v>
      </c>
      <c r="C56" s="19">
        <f>'Data Mentah'!I53</f>
        <v>111</v>
      </c>
      <c r="D56" s="20">
        <f t="shared" si="7"/>
        <v>111.98967644493695</v>
      </c>
      <c r="E56" s="20">
        <f t="shared" si="8"/>
        <v>-1.0014361236720393</v>
      </c>
      <c r="F56" s="20">
        <f t="shared" si="9"/>
        <v>120.89676444936951</v>
      </c>
      <c r="G56" s="20">
        <f t="shared" si="10"/>
        <v>-9.8967644493695133</v>
      </c>
      <c r="H56" s="20">
        <f t="shared" si="11"/>
        <v>9.8967644493695133</v>
      </c>
      <c r="I56" s="21">
        <f t="shared" si="12"/>
        <v>97.945946566304244</v>
      </c>
      <c r="J56" s="21">
        <f t="shared" si="13"/>
        <v>8.9160040084410035</v>
      </c>
    </row>
    <row r="57" spans="1:10" x14ac:dyDescent="0.35">
      <c r="A57" s="6">
        <v>49</v>
      </c>
      <c r="B57" s="19" t="str">
        <f>'Data Mentah'!B54</f>
        <v>04/12/2023</v>
      </c>
      <c r="C57" s="19">
        <f>'Data Mentah'!I54</f>
        <v>120</v>
      </c>
      <c r="D57" s="20">
        <f t="shared" si="7"/>
        <v>119.09882403212649</v>
      </c>
      <c r="E57" s="20">
        <f t="shared" si="8"/>
        <v>-0.1903777525858813</v>
      </c>
      <c r="F57" s="20">
        <f t="shared" si="9"/>
        <v>110.98824032126491</v>
      </c>
      <c r="G57" s="20">
        <f t="shared" si="10"/>
        <v>9.0117596787350891</v>
      </c>
      <c r="H57" s="20">
        <f t="shared" si="11"/>
        <v>9.0117596787350891</v>
      </c>
      <c r="I57" s="21">
        <f t="shared" si="12"/>
        <v>81.211812507275553</v>
      </c>
      <c r="J57" s="21">
        <f t="shared" si="13"/>
        <v>7.50979973227924</v>
      </c>
    </row>
    <row r="58" spans="1:10" x14ac:dyDescent="0.35">
      <c r="A58" s="6">
        <v>50</v>
      </c>
      <c r="B58" s="19" t="str">
        <f>'Data Mentah'!B55</f>
        <v>11/12/2023</v>
      </c>
      <c r="C58" s="19">
        <f>'Data Mentah'!I55</f>
        <v>128</v>
      </c>
      <c r="D58" s="20">
        <f t="shared" si="7"/>
        <v>127.09084462795406</v>
      </c>
      <c r="E58" s="20">
        <f t="shared" si="8"/>
        <v>0.62786208225546369</v>
      </c>
      <c r="F58" s="20">
        <f t="shared" si="9"/>
        <v>118.90844627954061</v>
      </c>
      <c r="G58" s="20">
        <f t="shared" si="10"/>
        <v>9.0915537204593875</v>
      </c>
      <c r="H58" s="20">
        <f t="shared" si="11"/>
        <v>9.0915537204593875</v>
      </c>
      <c r="I58" s="21">
        <f t="shared" si="12"/>
        <v>82.65634905199893</v>
      </c>
      <c r="J58" s="21">
        <f t="shared" si="13"/>
        <v>7.1027763441088965</v>
      </c>
    </row>
    <row r="59" spans="1:10" x14ac:dyDescent="0.35">
      <c r="A59" s="6">
        <v>51</v>
      </c>
      <c r="B59" s="19" t="str">
        <f>'Data Mentah'!B56</f>
        <v>18/12/2023</v>
      </c>
      <c r="C59" s="19">
        <f>'Data Mentah'!I56</f>
        <v>124</v>
      </c>
      <c r="D59" s="20">
        <f t="shared" si="7"/>
        <v>124.37187067102096</v>
      </c>
      <c r="E59" s="20">
        <f t="shared" si="8"/>
        <v>0.29317847833660748</v>
      </c>
      <c r="F59" s="20">
        <f t="shared" si="9"/>
        <v>127.71870671020952</v>
      </c>
      <c r="G59" s="20">
        <f t="shared" si="10"/>
        <v>-3.718706710209517</v>
      </c>
      <c r="H59" s="20">
        <f t="shared" si="11"/>
        <v>3.718706710209517</v>
      </c>
      <c r="I59" s="21">
        <f t="shared" si="12"/>
        <v>13.82877959655729</v>
      </c>
      <c r="J59" s="21">
        <f t="shared" si="13"/>
        <v>2.9989570243625137</v>
      </c>
    </row>
    <row r="60" spans="1:10" x14ac:dyDescent="0.35">
      <c r="A60" s="6">
        <v>52</v>
      </c>
      <c r="B60" s="19" t="str">
        <f>'Data Mentah'!B57</f>
        <v>25/12/2023</v>
      </c>
      <c r="C60" s="19">
        <f>'Data Mentah'!I57</f>
        <v>132</v>
      </c>
      <c r="D60" s="20">
        <f t="shared" si="7"/>
        <v>131.26650491493575</v>
      </c>
      <c r="E60" s="20">
        <f t="shared" si="8"/>
        <v>0.95332405489442618</v>
      </c>
      <c r="F60" s="20">
        <f t="shared" si="9"/>
        <v>124.66504914935757</v>
      </c>
      <c r="G60" s="20">
        <f t="shared" si="10"/>
        <v>7.3349508506424286</v>
      </c>
      <c r="H60" s="20">
        <f t="shared" si="11"/>
        <v>7.3349508506424286</v>
      </c>
      <c r="I60" s="21">
        <f t="shared" si="12"/>
        <v>53.801503981340083</v>
      </c>
      <c r="J60" s="21">
        <f t="shared" si="13"/>
        <v>5.5567809474563852</v>
      </c>
    </row>
    <row r="61" spans="1:10" x14ac:dyDescent="0.35">
      <c r="A61" s="6">
        <v>53</v>
      </c>
      <c r="B61" s="19" t="str">
        <f>'Data Mentah'!B58</f>
        <v>01/01/2024</v>
      </c>
      <c r="C61" s="19">
        <f>'Data Mentah'!I58</f>
        <v>117</v>
      </c>
      <c r="D61" s="20">
        <f t="shared" si="7"/>
        <v>118.52198289698302</v>
      </c>
      <c r="E61" s="20">
        <f t="shared" si="8"/>
        <v>-0.41646055239028967</v>
      </c>
      <c r="F61" s="20">
        <f t="shared" si="9"/>
        <v>132.21982896983019</v>
      </c>
      <c r="G61" s="20">
        <f t="shared" si="10"/>
        <v>-15.219828969830189</v>
      </c>
      <c r="H61" s="20">
        <f t="shared" si="11"/>
        <v>15.219828969830189</v>
      </c>
      <c r="I61" s="21">
        <f t="shared" si="12"/>
        <v>231.64319387088227</v>
      </c>
      <c r="J61" s="21">
        <f t="shared" si="13"/>
        <v>13.008400828914693</v>
      </c>
    </row>
    <row r="62" spans="1:10" x14ac:dyDescent="0.35">
      <c r="A62" s="6">
        <v>54</v>
      </c>
      <c r="B62" s="19" t="str">
        <f>'Data Mentah'!B59</f>
        <v>08/01/2024</v>
      </c>
      <c r="C62" s="19">
        <f>'Data Mentah'!I59</f>
        <v>108</v>
      </c>
      <c r="D62" s="20">
        <f t="shared" si="7"/>
        <v>109.01055223445927</v>
      </c>
      <c r="E62" s="20">
        <f t="shared" si="8"/>
        <v>-1.3259575634036358</v>
      </c>
      <c r="F62" s="20">
        <f t="shared" si="9"/>
        <v>118.10552234459273</v>
      </c>
      <c r="G62" s="20">
        <f t="shared" si="10"/>
        <v>-10.105522344592728</v>
      </c>
      <c r="H62" s="20">
        <f t="shared" si="11"/>
        <v>10.105522344592728</v>
      </c>
      <c r="I62" s="21">
        <f t="shared" si="12"/>
        <v>102.12158185706291</v>
      </c>
      <c r="J62" s="21">
        <f t="shared" si="13"/>
        <v>9.3569651338821558</v>
      </c>
    </row>
    <row r="63" spans="1:10" x14ac:dyDescent="0.35">
      <c r="A63" s="6">
        <v>55</v>
      </c>
      <c r="B63" s="19" t="str">
        <f>'Data Mentah'!B60</f>
        <v>15/01/2024</v>
      </c>
      <c r="C63" s="19">
        <f>'Data Mentah'!I60</f>
        <v>115</v>
      </c>
      <c r="D63" s="20">
        <f t="shared" si="7"/>
        <v>114.26845946710556</v>
      </c>
      <c r="E63" s="20">
        <f t="shared" si="8"/>
        <v>-0.66757108379864338</v>
      </c>
      <c r="F63" s="20">
        <f t="shared" si="9"/>
        <v>107.68459467105563</v>
      </c>
      <c r="G63" s="20">
        <f t="shared" si="10"/>
        <v>7.3154053289443652</v>
      </c>
      <c r="H63" s="20">
        <f t="shared" si="11"/>
        <v>7.3154053289443652</v>
      </c>
      <c r="I63" s="21">
        <f t="shared" si="12"/>
        <v>53.515155126747615</v>
      </c>
      <c r="J63" s="21">
        <f t="shared" si="13"/>
        <v>6.3612220251690141</v>
      </c>
    </row>
    <row r="64" spans="1:10" x14ac:dyDescent="0.35">
      <c r="A64" s="6">
        <v>56</v>
      </c>
      <c r="B64" s="19" t="str">
        <f>'Data Mentah'!B61</f>
        <v>22/01/2024</v>
      </c>
      <c r="C64" s="19">
        <f>'Data Mentah'!I61</f>
        <v>114</v>
      </c>
      <c r="D64" s="20">
        <f t="shared" si="7"/>
        <v>113.96008883833069</v>
      </c>
      <c r="E64" s="20">
        <f t="shared" si="8"/>
        <v>-0.63165103829626568</v>
      </c>
      <c r="F64" s="20">
        <f t="shared" si="9"/>
        <v>113.60088838330691</v>
      </c>
      <c r="G64" s="20">
        <f t="shared" si="10"/>
        <v>0.39911161669309081</v>
      </c>
      <c r="H64" s="20">
        <f t="shared" si="11"/>
        <v>0.39911161669309081</v>
      </c>
      <c r="I64" s="21">
        <f t="shared" si="12"/>
        <v>0.15929008257937263</v>
      </c>
      <c r="J64" s="21">
        <f t="shared" si="13"/>
        <v>0.3500979093799042</v>
      </c>
    </row>
    <row r="65" spans="1:10" x14ac:dyDescent="0.35">
      <c r="A65" s="6">
        <v>57</v>
      </c>
      <c r="B65" s="19" t="str">
        <f>'Data Mentah'!B62</f>
        <v>29/01/2024</v>
      </c>
      <c r="C65" s="19">
        <f>'Data Mentah'!I62</f>
        <v>118</v>
      </c>
      <c r="D65" s="20">
        <f t="shared" si="7"/>
        <v>117.53284378000345</v>
      </c>
      <c r="E65" s="20">
        <f t="shared" si="8"/>
        <v>-0.21121044029936353</v>
      </c>
      <c r="F65" s="20">
        <f t="shared" si="9"/>
        <v>113.32843780003442</v>
      </c>
      <c r="G65" s="20">
        <f t="shared" si="10"/>
        <v>4.6715621999655781</v>
      </c>
      <c r="H65" s="20">
        <f t="shared" si="11"/>
        <v>4.6715621999655781</v>
      </c>
      <c r="I65" s="21">
        <f t="shared" si="12"/>
        <v>21.823493388147231</v>
      </c>
      <c r="J65" s="21">
        <f t="shared" si="13"/>
        <v>3.9589510169199817</v>
      </c>
    </row>
    <row r="66" spans="1:10" x14ac:dyDescent="0.35">
      <c r="A66" s="6">
        <v>58</v>
      </c>
      <c r="B66" s="19" t="str">
        <f>'Data Mentah'!B63</f>
        <v>05/02/2024</v>
      </c>
      <c r="C66" s="19">
        <f>'Data Mentah'!I63</f>
        <v>107</v>
      </c>
      <c r="D66" s="20">
        <f t="shared" si="7"/>
        <v>108.0321633339704</v>
      </c>
      <c r="E66" s="20">
        <f t="shared" si="8"/>
        <v>-1.1401574408727317</v>
      </c>
      <c r="F66" s="20">
        <f t="shared" si="9"/>
        <v>117.32163333970408</v>
      </c>
      <c r="G66" s="20">
        <f t="shared" si="10"/>
        <v>-10.321633339704078</v>
      </c>
      <c r="H66" s="20">
        <f t="shared" si="11"/>
        <v>10.321633339704078</v>
      </c>
      <c r="I66" s="21">
        <f t="shared" si="12"/>
        <v>106.53611479929077</v>
      </c>
      <c r="J66" s="21">
        <f t="shared" si="13"/>
        <v>9.6463862987888582</v>
      </c>
    </row>
    <row r="67" spans="1:10" x14ac:dyDescent="0.35">
      <c r="A67" s="6">
        <v>59</v>
      </c>
      <c r="B67" s="19" t="str">
        <f>'Data Mentah'!B64</f>
        <v>12/02/2024</v>
      </c>
      <c r="C67" s="19">
        <f>'Data Mentah'!I64</f>
        <v>106</v>
      </c>
      <c r="D67" s="20">
        <f t="shared" si="7"/>
        <v>106.08920058930977</v>
      </c>
      <c r="E67" s="20">
        <f t="shared" si="8"/>
        <v>-1.2204379712515219</v>
      </c>
      <c r="F67" s="20">
        <f t="shared" si="9"/>
        <v>106.89200589309768</v>
      </c>
      <c r="G67" s="20">
        <f t="shared" si="10"/>
        <v>-0.89200589309767508</v>
      </c>
      <c r="H67" s="20">
        <f t="shared" si="11"/>
        <v>0.89200589309767508</v>
      </c>
      <c r="I67" s="21">
        <f t="shared" si="12"/>
        <v>0.79567451332098094</v>
      </c>
      <c r="J67" s="21">
        <f t="shared" si="13"/>
        <v>0.84151499348837278</v>
      </c>
    </row>
    <row r="68" spans="1:10" x14ac:dyDescent="0.35">
      <c r="A68" s="6">
        <v>60</v>
      </c>
      <c r="B68" s="19" t="str">
        <f>'Data Mentah'!B65</f>
        <v>19/02/2024</v>
      </c>
      <c r="C68" s="19">
        <f>'Data Mentah'!I65</f>
        <v>115</v>
      </c>
      <c r="D68" s="20">
        <f t="shared" si="7"/>
        <v>113.98687626180582</v>
      </c>
      <c r="E68" s="20">
        <f t="shared" si="8"/>
        <v>-0.30862660687676469</v>
      </c>
      <c r="F68" s="20">
        <f t="shared" si="9"/>
        <v>104.86876261805824</v>
      </c>
      <c r="G68" s="20">
        <f t="shared" si="10"/>
        <v>10.131237381941759</v>
      </c>
      <c r="H68" s="20">
        <f t="shared" si="11"/>
        <v>10.131237381941759</v>
      </c>
      <c r="I68" s="21">
        <f t="shared" si="12"/>
        <v>102.6419708892541</v>
      </c>
      <c r="J68" s="21">
        <f t="shared" si="13"/>
        <v>8.8097716364710941</v>
      </c>
    </row>
    <row r="69" spans="1:10" x14ac:dyDescent="0.35">
      <c r="A69" s="6">
        <v>61</v>
      </c>
      <c r="B69" s="19" t="str">
        <f>'Data Mentah'!B66</f>
        <v>26/02/2024</v>
      </c>
      <c r="C69" s="19">
        <f>'Data Mentah'!I66</f>
        <v>114</v>
      </c>
      <c r="D69" s="20">
        <f t="shared" si="7"/>
        <v>113.96782496549291</v>
      </c>
      <c r="E69" s="20">
        <f t="shared" si="8"/>
        <v>-0.2796690758203792</v>
      </c>
      <c r="F69" s="20">
        <f t="shared" si="9"/>
        <v>113.67824965492905</v>
      </c>
      <c r="G69" s="20">
        <f t="shared" si="10"/>
        <v>0.3217503450709529</v>
      </c>
      <c r="H69" s="20">
        <f t="shared" si="11"/>
        <v>0.3217503450709529</v>
      </c>
      <c r="I69" s="21">
        <f t="shared" si="12"/>
        <v>0.10352328455327726</v>
      </c>
      <c r="J69" s="21">
        <f t="shared" si="13"/>
        <v>0.28223714479908146</v>
      </c>
    </row>
    <row r="70" spans="1:10" x14ac:dyDescent="0.35">
      <c r="A70" s="6">
        <v>62</v>
      </c>
      <c r="B70" s="19" t="str">
        <f>'Data Mentah'!B67</f>
        <v>04/03/2024</v>
      </c>
      <c r="C70" s="19">
        <f>'Data Mentah'!I67</f>
        <v>119</v>
      </c>
      <c r="D70" s="20">
        <f t="shared" si="7"/>
        <v>118.46881558896726</v>
      </c>
      <c r="E70" s="20">
        <f t="shared" si="8"/>
        <v>0.19839689410909384</v>
      </c>
      <c r="F70" s="20">
        <f t="shared" si="9"/>
        <v>113.68815588967253</v>
      </c>
      <c r="G70" s="20">
        <f t="shared" si="10"/>
        <v>5.3118441103274705</v>
      </c>
      <c r="H70" s="20">
        <f t="shared" si="11"/>
        <v>5.3118441103274705</v>
      </c>
      <c r="I70" s="21">
        <f t="shared" si="12"/>
        <v>28.215687852420636</v>
      </c>
      <c r="J70" s="21">
        <f t="shared" si="13"/>
        <v>4.4637345464936731</v>
      </c>
    </row>
    <row r="71" spans="1:10" x14ac:dyDescent="0.35">
      <c r="A71" s="6">
        <v>63</v>
      </c>
      <c r="B71" s="19" t="str">
        <f>'Data Mentah'!B68</f>
        <v>11/03/2024</v>
      </c>
      <c r="C71" s="19">
        <f>'Data Mentah'!I68</f>
        <v>113</v>
      </c>
      <c r="D71" s="20">
        <f t="shared" si="7"/>
        <v>113.56672124830763</v>
      </c>
      <c r="E71" s="20">
        <f t="shared" si="8"/>
        <v>-0.31165222936777859</v>
      </c>
      <c r="F71" s="20">
        <f t="shared" si="9"/>
        <v>118.66721248307636</v>
      </c>
      <c r="G71" s="20">
        <f t="shared" si="10"/>
        <v>-5.6672124830763551</v>
      </c>
      <c r="H71" s="20">
        <f t="shared" si="11"/>
        <v>5.6672124830763551</v>
      </c>
      <c r="I71" s="21">
        <f t="shared" si="12"/>
        <v>32.117297328336463</v>
      </c>
      <c r="J71" s="21">
        <f t="shared" si="13"/>
        <v>5.0152322859082794</v>
      </c>
    </row>
    <row r="72" spans="1:10" x14ac:dyDescent="0.35">
      <c r="A72" s="6">
        <v>64</v>
      </c>
      <c r="B72" s="19" t="str">
        <f>'Data Mentah'!B69</f>
        <v>18/03/2024</v>
      </c>
      <c r="C72" s="19">
        <f>'Data Mentah'!I69</f>
        <v>105</v>
      </c>
      <c r="D72" s="20">
        <f t="shared" si="7"/>
        <v>105.82550690189399</v>
      </c>
      <c r="E72" s="20">
        <f t="shared" si="8"/>
        <v>-1.0546084410723651</v>
      </c>
      <c r="F72" s="20">
        <f t="shared" si="9"/>
        <v>113.25506901893985</v>
      </c>
      <c r="G72" s="20">
        <f t="shared" si="10"/>
        <v>-8.2550690189398495</v>
      </c>
      <c r="H72" s="20">
        <f t="shared" si="11"/>
        <v>8.2550690189398495</v>
      </c>
      <c r="I72" s="21">
        <f t="shared" si="12"/>
        <v>68.146164507460526</v>
      </c>
      <c r="J72" s="21">
        <f t="shared" si="13"/>
        <v>7.8619704942284274</v>
      </c>
    </row>
    <row r="73" spans="1:10" x14ac:dyDescent="0.35">
      <c r="A73" s="6">
        <v>65</v>
      </c>
      <c r="B73" s="19" t="str">
        <f>'Data Mentah'!B70</f>
        <v>25/03/2024</v>
      </c>
      <c r="C73" s="19">
        <f>'Data Mentah'!I70</f>
        <v>113</v>
      </c>
      <c r="D73" s="20">
        <f t="shared" ref="D73:D104" si="14">$E$4*C73+(1-$E$4)*(D72+E72)</f>
        <v>112.17708984608217</v>
      </c>
      <c r="E73" s="20">
        <f t="shared" ref="E73:E104" si="15">$H$4*(D73-D72)+(1-$H$4)*E72</f>
        <v>-0.31398930254631052</v>
      </c>
      <c r="F73" s="20">
        <f t="shared" ref="F73:F104" si="16">D72+E72</f>
        <v>104.77089846082163</v>
      </c>
      <c r="G73" s="20">
        <f t="shared" ref="G73:G104" si="17">C73-F73</f>
        <v>8.2291015391783731</v>
      </c>
      <c r="H73" s="20">
        <f t="shared" ref="H73:H104" si="18">ABS(G73)</f>
        <v>8.2291015391783731</v>
      </c>
      <c r="I73" s="21">
        <f t="shared" ref="I73:I104" si="19">G73^2</f>
        <v>67.71811214210787</v>
      </c>
      <c r="J73" s="21">
        <f t="shared" ref="J73:J104" si="20">ABS(G73/C73)*100</f>
        <v>7.2823907426357293</v>
      </c>
    </row>
    <row r="74" spans="1:10" x14ac:dyDescent="0.35">
      <c r="A74" s="6">
        <v>66</v>
      </c>
      <c r="B74" s="19" t="str">
        <f>'Data Mentah'!B71</f>
        <v>01/04/2024</v>
      </c>
      <c r="C74" s="19">
        <f>'Data Mentah'!I71</f>
        <v>125</v>
      </c>
      <c r="D74" s="20">
        <f t="shared" si="14"/>
        <v>123.68631005435358</v>
      </c>
      <c r="E74" s="20">
        <f t="shared" si="15"/>
        <v>0.86833164853546208</v>
      </c>
      <c r="F74" s="20">
        <f t="shared" si="16"/>
        <v>111.86310054353586</v>
      </c>
      <c r="G74" s="20">
        <f t="shared" si="17"/>
        <v>13.136899456464135</v>
      </c>
      <c r="H74" s="20">
        <f t="shared" si="18"/>
        <v>13.136899456464135</v>
      </c>
      <c r="I74" s="21">
        <f t="shared" si="19"/>
        <v>172.57812732924771</v>
      </c>
      <c r="J74" s="21">
        <f t="shared" si="20"/>
        <v>10.509519565171308</v>
      </c>
    </row>
    <row r="75" spans="1:10" x14ac:dyDescent="0.35">
      <c r="A75" s="6">
        <v>67</v>
      </c>
      <c r="B75" s="19" t="str">
        <f>'Data Mentah'!B72</f>
        <v>08/04/2024</v>
      </c>
      <c r="C75" s="19">
        <f>'Data Mentah'!I72</f>
        <v>133</v>
      </c>
      <c r="D75" s="20">
        <f t="shared" si="14"/>
        <v>132.15546417028889</v>
      </c>
      <c r="E75" s="20">
        <f t="shared" si="15"/>
        <v>1.628413895275447</v>
      </c>
      <c r="F75" s="20">
        <f t="shared" si="16"/>
        <v>124.55464170288904</v>
      </c>
      <c r="G75" s="20">
        <f t="shared" si="17"/>
        <v>8.4453582971109569</v>
      </c>
      <c r="H75" s="20">
        <f t="shared" si="18"/>
        <v>8.4453582971109569</v>
      </c>
      <c r="I75" s="21">
        <f t="shared" si="19"/>
        <v>71.324076766580887</v>
      </c>
      <c r="J75" s="21">
        <f t="shared" si="20"/>
        <v>6.3498934564744038</v>
      </c>
    </row>
    <row r="76" spans="1:10" x14ac:dyDescent="0.35">
      <c r="A76" s="6">
        <v>68</v>
      </c>
      <c r="B76" s="19" t="str">
        <f>'Data Mentah'!B73</f>
        <v>15/04/2024</v>
      </c>
      <c r="C76" s="19">
        <f>'Data Mentah'!I73</f>
        <v>138</v>
      </c>
      <c r="D76" s="20">
        <f t="shared" si="14"/>
        <v>137.57838780655644</v>
      </c>
      <c r="E76" s="20">
        <f t="shared" si="15"/>
        <v>2.0078648693746564</v>
      </c>
      <c r="F76" s="20">
        <f t="shared" si="16"/>
        <v>133.78387806556435</v>
      </c>
      <c r="G76" s="20">
        <f t="shared" si="17"/>
        <v>4.2161219344356482</v>
      </c>
      <c r="H76" s="20">
        <f t="shared" si="18"/>
        <v>4.2161219344356482</v>
      </c>
      <c r="I76" s="21">
        <f t="shared" si="19"/>
        <v>17.775684166029393</v>
      </c>
      <c r="J76" s="21">
        <f t="shared" si="20"/>
        <v>3.0551608220548174</v>
      </c>
    </row>
    <row r="77" spans="1:10" x14ac:dyDescent="0.35">
      <c r="A77" s="6">
        <v>69</v>
      </c>
      <c r="B77" s="19" t="str">
        <f>'Data Mentah'!B74</f>
        <v>22/04/2024</v>
      </c>
      <c r="C77" s="19">
        <f>'Data Mentah'!I74</f>
        <v>128</v>
      </c>
      <c r="D77" s="20">
        <f t="shared" si="14"/>
        <v>129.1586252675931</v>
      </c>
      <c r="E77" s="20">
        <f t="shared" si="15"/>
        <v>0.96510212854085675</v>
      </c>
      <c r="F77" s="20">
        <f t="shared" si="16"/>
        <v>139.58625267593109</v>
      </c>
      <c r="G77" s="20">
        <f t="shared" si="17"/>
        <v>-11.586252675931092</v>
      </c>
      <c r="H77" s="20">
        <f t="shared" si="18"/>
        <v>11.586252675931092</v>
      </c>
      <c r="I77" s="21">
        <f t="shared" si="19"/>
        <v>134.24125107052041</v>
      </c>
      <c r="J77" s="21">
        <f t="shared" si="20"/>
        <v>9.0517599030711651</v>
      </c>
    </row>
    <row r="78" spans="1:10" x14ac:dyDescent="0.35">
      <c r="A78" s="6">
        <v>70</v>
      </c>
      <c r="B78" s="19" t="str">
        <f>'Data Mentah'!B75</f>
        <v>29/04/2024</v>
      </c>
      <c r="C78" s="19">
        <f>'Data Mentah'!I75</f>
        <v>122</v>
      </c>
      <c r="D78" s="20">
        <f t="shared" si="14"/>
        <v>122.81237273961339</v>
      </c>
      <c r="E78" s="20">
        <f t="shared" si="15"/>
        <v>0.23396666288880097</v>
      </c>
      <c r="F78" s="20">
        <f t="shared" si="16"/>
        <v>130.12372739613394</v>
      </c>
      <c r="G78" s="20">
        <f t="shared" si="17"/>
        <v>-8.123727396133944</v>
      </c>
      <c r="H78" s="20">
        <f t="shared" si="18"/>
        <v>8.123727396133944</v>
      </c>
      <c r="I78" s="21">
        <f t="shared" si="19"/>
        <v>65.994946806697186</v>
      </c>
      <c r="J78" s="21">
        <f t="shared" si="20"/>
        <v>6.6587929476507739</v>
      </c>
    </row>
    <row r="79" spans="1:10" x14ac:dyDescent="0.35">
      <c r="A79" s="6">
        <v>71</v>
      </c>
      <c r="B79" s="19" t="str">
        <f>'Data Mentah'!B76</f>
        <v>06/05/2024</v>
      </c>
      <c r="C79" s="19">
        <f>'Data Mentah'!I76</f>
        <v>119</v>
      </c>
      <c r="D79" s="20">
        <f t="shared" si="14"/>
        <v>119.40463394025022</v>
      </c>
      <c r="E79" s="20">
        <f t="shared" si="15"/>
        <v>-0.13020388333639649</v>
      </c>
      <c r="F79" s="20">
        <f t="shared" si="16"/>
        <v>123.0463394025022</v>
      </c>
      <c r="G79" s="20">
        <f t="shared" si="17"/>
        <v>-4.0463394025021984</v>
      </c>
      <c r="H79" s="20">
        <f t="shared" si="18"/>
        <v>4.0463394025021984</v>
      </c>
      <c r="I79" s="21">
        <f t="shared" si="19"/>
        <v>16.372862560241849</v>
      </c>
      <c r="J79" s="21">
        <f t="shared" si="20"/>
        <v>3.4002852121867209</v>
      </c>
    </row>
    <row r="80" spans="1:10" x14ac:dyDescent="0.35">
      <c r="A80" s="6">
        <v>72</v>
      </c>
      <c r="B80" s="19" t="str">
        <f>'Data Mentah'!B77</f>
        <v>13/05/2024</v>
      </c>
      <c r="C80" s="19">
        <f>'Data Mentah'!I77</f>
        <v>111</v>
      </c>
      <c r="D80" s="20">
        <f t="shared" si="14"/>
        <v>111.82744300569138</v>
      </c>
      <c r="E80" s="20">
        <f t="shared" si="15"/>
        <v>-0.87490258845864111</v>
      </c>
      <c r="F80" s="20">
        <f t="shared" si="16"/>
        <v>119.27443005691383</v>
      </c>
      <c r="G80" s="20">
        <f t="shared" si="17"/>
        <v>-8.2744300569138289</v>
      </c>
      <c r="H80" s="20">
        <f t="shared" si="18"/>
        <v>8.2744300569138289</v>
      </c>
      <c r="I80" s="21">
        <f t="shared" si="19"/>
        <v>68.466192766758994</v>
      </c>
      <c r="J80" s="21">
        <f t="shared" si="20"/>
        <v>7.4544414927151612</v>
      </c>
    </row>
    <row r="81" spans="1:10" x14ac:dyDescent="0.35">
      <c r="A81" s="6">
        <v>73</v>
      </c>
      <c r="B81" s="19" t="str">
        <f>'Data Mentah'!B78</f>
        <v>20/05/2024</v>
      </c>
      <c r="C81" s="19">
        <f>'Data Mentah'!I78</f>
        <v>116</v>
      </c>
      <c r="D81" s="20">
        <f t="shared" si="14"/>
        <v>115.49525404172327</v>
      </c>
      <c r="E81" s="20">
        <f t="shared" si="15"/>
        <v>-0.42063122600958769</v>
      </c>
      <c r="F81" s="20">
        <f t="shared" si="16"/>
        <v>110.95254041723274</v>
      </c>
      <c r="G81" s="20">
        <f t="shared" si="17"/>
        <v>5.0474595827672601</v>
      </c>
      <c r="H81" s="20">
        <f t="shared" si="18"/>
        <v>5.0474595827672601</v>
      </c>
      <c r="I81" s="21">
        <f t="shared" si="19"/>
        <v>25.476848239669042</v>
      </c>
      <c r="J81" s="21">
        <f t="shared" si="20"/>
        <v>4.3512582610062589</v>
      </c>
    </row>
    <row r="82" spans="1:10" x14ac:dyDescent="0.35">
      <c r="A82" s="6">
        <v>74</v>
      </c>
      <c r="B82" s="19" t="str">
        <f>'Data Mentah'!B79</f>
        <v>27/05/2024</v>
      </c>
      <c r="C82" s="19">
        <f>'Data Mentah'!I79</f>
        <v>116</v>
      </c>
      <c r="D82" s="20">
        <f t="shared" si="14"/>
        <v>115.90746228157137</v>
      </c>
      <c r="E82" s="20">
        <f t="shared" si="15"/>
        <v>-0.33734727942381909</v>
      </c>
      <c r="F82" s="20">
        <f t="shared" si="16"/>
        <v>115.07462281571368</v>
      </c>
      <c r="G82" s="20">
        <f t="shared" si="17"/>
        <v>0.92537718428631877</v>
      </c>
      <c r="H82" s="20">
        <f t="shared" si="18"/>
        <v>0.92537718428631877</v>
      </c>
      <c r="I82" s="21">
        <f t="shared" si="19"/>
        <v>0.85632293319767561</v>
      </c>
      <c r="J82" s="21">
        <f t="shared" si="20"/>
        <v>0.79773895197096445</v>
      </c>
    </row>
    <row r="83" spans="1:10" x14ac:dyDescent="0.35">
      <c r="A83" s="6">
        <v>75</v>
      </c>
      <c r="B83" s="19" t="str">
        <f>'Data Mentah'!B80</f>
        <v>03/06/2024</v>
      </c>
      <c r="C83" s="19">
        <f>'Data Mentah'!I80</f>
        <v>115</v>
      </c>
      <c r="D83" s="20">
        <f t="shared" si="14"/>
        <v>115.05701150021476</v>
      </c>
      <c r="E83" s="20">
        <f t="shared" si="15"/>
        <v>-0.38865762961709854</v>
      </c>
      <c r="F83" s="20">
        <f t="shared" si="16"/>
        <v>115.57011500214755</v>
      </c>
      <c r="G83" s="20">
        <f t="shared" si="17"/>
        <v>-0.57011500214754562</v>
      </c>
      <c r="H83" s="20">
        <f t="shared" si="18"/>
        <v>0.57011500214754562</v>
      </c>
      <c r="I83" s="21">
        <f t="shared" si="19"/>
        <v>0.32503111567369597</v>
      </c>
      <c r="J83" s="21">
        <f t="shared" si="20"/>
        <v>0.49575217578047448</v>
      </c>
    </row>
    <row r="84" spans="1:10" x14ac:dyDescent="0.35">
      <c r="A84" s="6">
        <v>76</v>
      </c>
      <c r="B84" s="19" t="str">
        <f>'Data Mentah'!B81</f>
        <v>10/06/2024</v>
      </c>
      <c r="C84" s="19">
        <f>'Data Mentah'!I81</f>
        <v>112</v>
      </c>
      <c r="D84" s="20">
        <f t="shared" si="14"/>
        <v>112.26683538705976</v>
      </c>
      <c r="E84" s="20">
        <f t="shared" si="15"/>
        <v>-0.6288094779708886</v>
      </c>
      <c r="F84" s="20">
        <f t="shared" si="16"/>
        <v>114.66835387059766</v>
      </c>
      <c r="G84" s="20">
        <f t="shared" si="17"/>
        <v>-2.6683538705976559</v>
      </c>
      <c r="H84" s="20">
        <f t="shared" si="18"/>
        <v>2.6683538705976559</v>
      </c>
      <c r="I84" s="21">
        <f t="shared" si="19"/>
        <v>7.1201123787334923</v>
      </c>
      <c r="J84" s="21">
        <f t="shared" si="20"/>
        <v>2.3824588130336215</v>
      </c>
    </row>
    <row r="85" spans="1:10" x14ac:dyDescent="0.35">
      <c r="A85" s="6">
        <v>77</v>
      </c>
      <c r="B85" s="19" t="str">
        <f>'Data Mentah'!B82</f>
        <v>17/06/2024</v>
      </c>
      <c r="C85" s="19">
        <f>'Data Mentah'!I82</f>
        <v>113</v>
      </c>
      <c r="D85" s="20">
        <f t="shared" si="14"/>
        <v>112.86380259090889</v>
      </c>
      <c r="E85" s="20">
        <f t="shared" si="15"/>
        <v>-0.50623180978888649</v>
      </c>
      <c r="F85" s="20">
        <f t="shared" si="16"/>
        <v>111.63802590908887</v>
      </c>
      <c r="G85" s="20">
        <f t="shared" si="17"/>
        <v>1.3619740909111329</v>
      </c>
      <c r="H85" s="20">
        <f t="shared" si="18"/>
        <v>1.3619740909111329</v>
      </c>
      <c r="I85" s="21">
        <f t="shared" si="19"/>
        <v>1.8549734243132068</v>
      </c>
      <c r="J85" s="21">
        <f t="shared" si="20"/>
        <v>1.2052868061160469</v>
      </c>
    </row>
    <row r="86" spans="1:10" x14ac:dyDescent="0.35">
      <c r="A86" s="6">
        <v>78</v>
      </c>
      <c r="B86" s="19" t="str">
        <f>'Data Mentah'!B83</f>
        <v>24/06/2024</v>
      </c>
      <c r="C86" s="19">
        <f>'Data Mentah'!I83</f>
        <v>117</v>
      </c>
      <c r="D86" s="20">
        <f t="shared" si="14"/>
        <v>116.535757078112</v>
      </c>
      <c r="E86" s="20">
        <f t="shared" si="15"/>
        <v>-8.8413180089686905E-2</v>
      </c>
      <c r="F86" s="20">
        <f t="shared" si="16"/>
        <v>112.35757078112</v>
      </c>
      <c r="G86" s="20">
        <f t="shared" si="17"/>
        <v>4.6424292188799967</v>
      </c>
      <c r="H86" s="20">
        <f t="shared" si="18"/>
        <v>4.6424292188799967</v>
      </c>
      <c r="I86" s="21">
        <f t="shared" si="19"/>
        <v>21.552149052310735</v>
      </c>
      <c r="J86" s="21">
        <f t="shared" si="20"/>
        <v>3.9678882212649542</v>
      </c>
    </row>
    <row r="87" spans="1:10" x14ac:dyDescent="0.35">
      <c r="A87" s="6">
        <v>79</v>
      </c>
      <c r="B87" s="19" t="str">
        <f>'Data Mentah'!B84</f>
        <v>01/07/2024</v>
      </c>
      <c r="C87" s="19">
        <f>'Data Mentah'!I84</f>
        <v>117</v>
      </c>
      <c r="D87" s="20">
        <f t="shared" si="14"/>
        <v>116.94473438980222</v>
      </c>
      <c r="E87" s="20">
        <f t="shared" si="15"/>
        <v>-3.8674130911695991E-2</v>
      </c>
      <c r="F87" s="20">
        <f t="shared" si="16"/>
        <v>116.44734389802231</v>
      </c>
      <c r="G87" s="20">
        <f t="shared" si="17"/>
        <v>0.55265610197768922</v>
      </c>
      <c r="H87" s="20">
        <f t="shared" si="18"/>
        <v>0.55265610197768922</v>
      </c>
      <c r="I87" s="21">
        <f t="shared" si="19"/>
        <v>0.30542876705317401</v>
      </c>
      <c r="J87" s="21">
        <f t="shared" si="20"/>
        <v>0.47235564271597369</v>
      </c>
    </row>
    <row r="88" spans="1:10" x14ac:dyDescent="0.35">
      <c r="A88" s="6">
        <v>80</v>
      </c>
      <c r="B88" s="19" t="str">
        <f>'Data Mentah'!B85</f>
        <v>08/07/2024</v>
      </c>
      <c r="C88" s="19">
        <f>'Data Mentah'!I85</f>
        <v>118</v>
      </c>
      <c r="D88" s="20">
        <f t="shared" si="14"/>
        <v>117.89060602588906</v>
      </c>
      <c r="E88" s="20">
        <f t="shared" si="15"/>
        <v>5.9780445788157131E-2</v>
      </c>
      <c r="F88" s="20">
        <f t="shared" si="16"/>
        <v>116.90606025889052</v>
      </c>
      <c r="G88" s="20">
        <f t="shared" si="17"/>
        <v>1.0939397411094802</v>
      </c>
      <c r="H88" s="20">
        <f t="shared" si="18"/>
        <v>1.0939397411094802</v>
      </c>
      <c r="I88" s="21">
        <f t="shared" si="19"/>
        <v>1.1967041571786765</v>
      </c>
      <c r="J88" s="21">
        <f t="shared" si="20"/>
        <v>0.92706757721142397</v>
      </c>
    </row>
    <row r="89" spans="1:10" x14ac:dyDescent="0.35">
      <c r="A89" s="6">
        <v>81</v>
      </c>
      <c r="B89" s="19" t="str">
        <f>'Data Mentah'!B86</f>
        <v>15/07/2024</v>
      </c>
      <c r="C89" s="19">
        <f>'Data Mentah'!I86</f>
        <v>116</v>
      </c>
      <c r="D89" s="20">
        <f t="shared" si="14"/>
        <v>116.19503864716772</v>
      </c>
      <c r="E89" s="20">
        <f t="shared" si="15"/>
        <v>-0.11575433666279215</v>
      </c>
      <c r="F89" s="20">
        <f t="shared" si="16"/>
        <v>117.95038647167722</v>
      </c>
      <c r="G89" s="20">
        <f t="shared" si="17"/>
        <v>-1.9503864716772199</v>
      </c>
      <c r="H89" s="20">
        <f t="shared" si="18"/>
        <v>1.9503864716772199</v>
      </c>
      <c r="I89" s="21">
        <f t="shared" si="19"/>
        <v>3.8040073889015149</v>
      </c>
      <c r="J89" s="21">
        <f t="shared" si="20"/>
        <v>1.6813676479976034</v>
      </c>
    </row>
    <row r="90" spans="1:10" x14ac:dyDescent="0.35">
      <c r="A90" s="6">
        <v>82</v>
      </c>
      <c r="B90" s="19" t="str">
        <f>'Data Mentah'!B87</f>
        <v>22/07/2024</v>
      </c>
      <c r="C90" s="19">
        <f>'Data Mentah'!I87</f>
        <v>104</v>
      </c>
      <c r="D90" s="20">
        <f t="shared" si="14"/>
        <v>105.2079284310505</v>
      </c>
      <c r="E90" s="20">
        <f t="shared" si="15"/>
        <v>-1.2028899246082347</v>
      </c>
      <c r="F90" s="20">
        <f t="shared" si="16"/>
        <v>116.07928431050493</v>
      </c>
      <c r="G90" s="20">
        <f t="shared" si="17"/>
        <v>-12.079284310504931</v>
      </c>
      <c r="H90" s="20">
        <f t="shared" si="18"/>
        <v>12.079284310504931</v>
      </c>
      <c r="I90" s="21">
        <f t="shared" si="19"/>
        <v>145.9091094540106</v>
      </c>
      <c r="J90" s="21">
        <f t="shared" si="20"/>
        <v>11.614696452408587</v>
      </c>
    </row>
    <row r="91" spans="1:10" x14ac:dyDescent="0.35">
      <c r="A91" s="6">
        <v>83</v>
      </c>
      <c r="B91" s="19" t="str">
        <f>'Data Mentah'!B88</f>
        <v>29/07/2024</v>
      </c>
      <c r="C91" s="19">
        <f>'Data Mentah'!I88</f>
        <v>115</v>
      </c>
      <c r="D91" s="20">
        <f t="shared" si="14"/>
        <v>113.90050385064423</v>
      </c>
      <c r="E91" s="20">
        <f t="shared" si="15"/>
        <v>-0.21334339018803894</v>
      </c>
      <c r="F91" s="20">
        <f t="shared" si="16"/>
        <v>104.00503850644228</v>
      </c>
      <c r="G91" s="20">
        <f t="shared" si="17"/>
        <v>10.994961493557724</v>
      </c>
      <c r="H91" s="20">
        <f t="shared" si="18"/>
        <v>10.994961493557724</v>
      </c>
      <c r="I91" s="21">
        <f t="shared" si="19"/>
        <v>120.8891782448171</v>
      </c>
      <c r="J91" s="21">
        <f t="shared" si="20"/>
        <v>9.5608360813545428</v>
      </c>
    </row>
    <row r="92" spans="1:10" x14ac:dyDescent="0.35">
      <c r="A92" s="6">
        <v>84</v>
      </c>
      <c r="B92" s="19" t="str">
        <f>'Data Mentah'!B89</f>
        <v>05/08/2024</v>
      </c>
      <c r="C92" s="19">
        <f>'Data Mentah'!I89</f>
        <v>129</v>
      </c>
      <c r="D92" s="20">
        <f t="shared" si="14"/>
        <v>127.46871604604563</v>
      </c>
      <c r="E92" s="20">
        <f t="shared" si="15"/>
        <v>1.1648121683709052</v>
      </c>
      <c r="F92" s="20">
        <f t="shared" si="16"/>
        <v>113.68716046045618</v>
      </c>
      <c r="G92" s="20">
        <f t="shared" si="17"/>
        <v>15.312839539543816</v>
      </c>
      <c r="H92" s="20">
        <f t="shared" si="18"/>
        <v>15.312839539543816</v>
      </c>
      <c r="I92" s="21">
        <f t="shared" si="19"/>
        <v>234.48305476381648</v>
      </c>
      <c r="J92" s="21">
        <f t="shared" si="20"/>
        <v>11.870418247708384</v>
      </c>
    </row>
    <row r="93" spans="1:10" x14ac:dyDescent="0.35">
      <c r="A93" s="6">
        <v>85</v>
      </c>
      <c r="B93" s="19" t="str">
        <f>'Data Mentah'!B90</f>
        <v>12/08/2024</v>
      </c>
      <c r="C93" s="19">
        <f>'Data Mentah'!I90</f>
        <v>127</v>
      </c>
      <c r="D93" s="20">
        <f t="shared" si="14"/>
        <v>127.16335282144165</v>
      </c>
      <c r="E93" s="20">
        <f t="shared" si="15"/>
        <v>1.0177946290734166</v>
      </c>
      <c r="F93" s="20">
        <f t="shared" si="16"/>
        <v>128.63352821441654</v>
      </c>
      <c r="G93" s="20">
        <f t="shared" si="17"/>
        <v>-1.6335282144165433</v>
      </c>
      <c r="H93" s="20">
        <f t="shared" si="18"/>
        <v>1.6335282144165433</v>
      </c>
      <c r="I93" s="21">
        <f t="shared" si="19"/>
        <v>2.6684144272949002</v>
      </c>
      <c r="J93" s="21">
        <f t="shared" si="20"/>
        <v>1.2862426885169631</v>
      </c>
    </row>
    <row r="94" spans="1:10" x14ac:dyDescent="0.35">
      <c r="A94" s="6">
        <v>86</v>
      </c>
      <c r="B94" s="19" t="str">
        <f>'Data Mentah'!B91</f>
        <v>19/08/2024</v>
      </c>
      <c r="C94" s="19">
        <f>'Data Mentah'!I91</f>
        <v>134</v>
      </c>
      <c r="D94" s="20">
        <f t="shared" si="14"/>
        <v>133.41811474505153</v>
      </c>
      <c r="E94" s="20">
        <f t="shared" si="15"/>
        <v>1.5414913585270626</v>
      </c>
      <c r="F94" s="20">
        <f t="shared" si="16"/>
        <v>128.18114745051506</v>
      </c>
      <c r="G94" s="20">
        <f t="shared" si="17"/>
        <v>5.8188525494849443</v>
      </c>
      <c r="H94" s="20">
        <f t="shared" si="18"/>
        <v>5.8188525494849443</v>
      </c>
      <c r="I94" s="21">
        <f t="shared" si="19"/>
        <v>33.859044992647434</v>
      </c>
      <c r="J94" s="21">
        <f t="shared" si="20"/>
        <v>4.3424272757350328</v>
      </c>
    </row>
    <row r="95" spans="1:10" x14ac:dyDescent="0.35">
      <c r="A95" s="6">
        <v>87</v>
      </c>
      <c r="B95" s="19" t="str">
        <f>'Data Mentah'!B92</f>
        <v>26/08/2024</v>
      </c>
      <c r="C95" s="19">
        <f>'Data Mentah'!I92</f>
        <v>120</v>
      </c>
      <c r="D95" s="20">
        <f t="shared" si="14"/>
        <v>121.49596061035786</v>
      </c>
      <c r="E95" s="20">
        <f t="shared" si="15"/>
        <v>0.19512680920498937</v>
      </c>
      <c r="F95" s="20">
        <f t="shared" si="16"/>
        <v>134.95960610357858</v>
      </c>
      <c r="G95" s="20">
        <f t="shared" si="17"/>
        <v>-14.959606103578579</v>
      </c>
      <c r="H95" s="20">
        <f t="shared" si="18"/>
        <v>14.959606103578579</v>
      </c>
      <c r="I95" s="21">
        <f t="shared" si="19"/>
        <v>223.78981477422548</v>
      </c>
      <c r="J95" s="21">
        <f t="shared" si="20"/>
        <v>12.466338419648816</v>
      </c>
    </row>
    <row r="96" spans="1:10" x14ac:dyDescent="0.35">
      <c r="A96" s="6">
        <v>88</v>
      </c>
      <c r="B96" s="19" t="str">
        <f>'Data Mentah'!B93</f>
        <v>02/09/2024</v>
      </c>
      <c r="C96" s="19">
        <f>'Data Mentah'!I93</f>
        <v>118</v>
      </c>
      <c r="D96" s="20">
        <f t="shared" si="14"/>
        <v>118.36910874195628</v>
      </c>
      <c r="E96" s="20">
        <f t="shared" si="15"/>
        <v>-0.1370710585556669</v>
      </c>
      <c r="F96" s="20">
        <f t="shared" si="16"/>
        <v>121.69108741956285</v>
      </c>
      <c r="G96" s="20">
        <f t="shared" si="17"/>
        <v>-3.691087419562848</v>
      </c>
      <c r="H96" s="20">
        <f t="shared" si="18"/>
        <v>3.691087419562848</v>
      </c>
      <c r="I96" s="21">
        <f t="shared" si="19"/>
        <v>13.624126338855124</v>
      </c>
      <c r="J96" s="21">
        <f t="shared" si="20"/>
        <v>3.1280401860702098</v>
      </c>
    </row>
    <row r="97" spans="1:10" x14ac:dyDescent="0.35">
      <c r="A97" s="6">
        <v>89</v>
      </c>
      <c r="B97" s="19" t="str">
        <f>'Data Mentah'!B94</f>
        <v>09/09/2024</v>
      </c>
      <c r="C97" s="19">
        <f>'Data Mentah'!I94</f>
        <v>124</v>
      </c>
      <c r="D97" s="20">
        <f t="shared" si="14"/>
        <v>123.42320376834007</v>
      </c>
      <c r="E97" s="20">
        <f t="shared" si="15"/>
        <v>0.38204554993827894</v>
      </c>
      <c r="F97" s="20">
        <f t="shared" si="16"/>
        <v>118.23203768340062</v>
      </c>
      <c r="G97" s="20">
        <f t="shared" si="17"/>
        <v>5.7679623165993803</v>
      </c>
      <c r="H97" s="20">
        <f t="shared" si="18"/>
        <v>5.7679623165993803</v>
      </c>
      <c r="I97" s="21">
        <f t="shared" si="19"/>
        <v>33.269389285710488</v>
      </c>
      <c r="J97" s="21">
        <f t="shared" si="20"/>
        <v>4.6515825133865967</v>
      </c>
    </row>
    <row r="98" spans="1:10" x14ac:dyDescent="0.35">
      <c r="A98" s="6">
        <v>90</v>
      </c>
      <c r="B98" s="19" t="str">
        <f>'Data Mentah'!B95</f>
        <v>16/09/2024</v>
      </c>
      <c r="C98" s="19">
        <f>'Data Mentah'!I95</f>
        <v>134</v>
      </c>
      <c r="D98" s="20">
        <f t="shared" si="14"/>
        <v>132.98052493182783</v>
      </c>
      <c r="E98" s="20">
        <f t="shared" si="15"/>
        <v>1.2995731112932267</v>
      </c>
      <c r="F98" s="20">
        <f t="shared" si="16"/>
        <v>123.80524931827836</v>
      </c>
      <c r="G98" s="20">
        <f t="shared" si="17"/>
        <v>10.194750681721644</v>
      </c>
      <c r="H98" s="20">
        <f t="shared" si="18"/>
        <v>10.194750681721644</v>
      </c>
      <c r="I98" s="21">
        <f t="shared" si="19"/>
        <v>103.93294146246392</v>
      </c>
      <c r="J98" s="21">
        <f t="shared" si="20"/>
        <v>7.6080228968071966</v>
      </c>
    </row>
    <row r="99" spans="1:10" x14ac:dyDescent="0.35">
      <c r="A99" s="6">
        <v>91</v>
      </c>
      <c r="B99" s="19" t="str">
        <f>'Data Mentah'!B96</f>
        <v>23/09/2024</v>
      </c>
      <c r="C99" s="19">
        <f>'Data Mentah'!I96</f>
        <v>132</v>
      </c>
      <c r="D99" s="20">
        <f t="shared" si="14"/>
        <v>132.22800980431211</v>
      </c>
      <c r="E99" s="20">
        <f t="shared" si="15"/>
        <v>1.094364287412332</v>
      </c>
      <c r="F99" s="20">
        <f t="shared" si="16"/>
        <v>134.28009804312106</v>
      </c>
      <c r="G99" s="20">
        <f t="shared" si="17"/>
        <v>-2.2800980431210576</v>
      </c>
      <c r="H99" s="20">
        <f t="shared" si="18"/>
        <v>2.2800980431210576</v>
      </c>
      <c r="I99" s="21">
        <f t="shared" si="19"/>
        <v>5.1988470862444762</v>
      </c>
      <c r="J99" s="21">
        <f t="shared" si="20"/>
        <v>1.7273470023644377</v>
      </c>
    </row>
    <row r="100" spans="1:10" x14ac:dyDescent="0.35">
      <c r="A100" s="6">
        <v>92</v>
      </c>
      <c r="B100" s="19" t="str">
        <f>'Data Mentah'!B97</f>
        <v>30/09/2024</v>
      </c>
      <c r="C100" s="19">
        <f>'Data Mentah'!I97</f>
        <v>128</v>
      </c>
      <c r="D100" s="20">
        <f t="shared" si="14"/>
        <v>128.53223740917244</v>
      </c>
      <c r="E100" s="20">
        <f t="shared" si="15"/>
        <v>0.61535061915713185</v>
      </c>
      <c r="F100" s="20">
        <f t="shared" si="16"/>
        <v>133.32237409172444</v>
      </c>
      <c r="G100" s="20">
        <f t="shared" si="17"/>
        <v>-5.3223740917244413</v>
      </c>
      <c r="H100" s="20">
        <f t="shared" si="18"/>
        <v>5.3223740917244413</v>
      </c>
      <c r="I100" s="21">
        <f t="shared" si="19"/>
        <v>28.32766597225957</v>
      </c>
      <c r="J100" s="21">
        <f t="shared" si="20"/>
        <v>4.1581047591597198</v>
      </c>
    </row>
    <row r="101" spans="1:10" x14ac:dyDescent="0.35">
      <c r="A101" s="6">
        <v>93</v>
      </c>
      <c r="B101" s="19" t="str">
        <f>'Data Mentah'!B98</f>
        <v>07/10/2024</v>
      </c>
      <c r="C101" s="19">
        <f>'Data Mentah'!I98</f>
        <v>121</v>
      </c>
      <c r="D101" s="20">
        <f t="shared" si="14"/>
        <v>121.81475880283296</v>
      </c>
      <c r="E101" s="20">
        <f t="shared" si="15"/>
        <v>-0.11793230339252969</v>
      </c>
      <c r="F101" s="20">
        <f t="shared" si="16"/>
        <v>129.14758802832958</v>
      </c>
      <c r="G101" s="20">
        <f t="shared" si="17"/>
        <v>-8.1475880283295794</v>
      </c>
      <c r="H101" s="20">
        <f t="shared" si="18"/>
        <v>8.1475880283295794</v>
      </c>
      <c r="I101" s="21">
        <f t="shared" si="19"/>
        <v>66.383190679379481</v>
      </c>
      <c r="J101" s="21">
        <f t="shared" si="20"/>
        <v>6.7335438250657687</v>
      </c>
    </row>
    <row r="102" spans="1:10" x14ac:dyDescent="0.35">
      <c r="A102" s="6">
        <v>94</v>
      </c>
      <c r="B102" s="19" t="str">
        <f>'Data Mentah'!B99</f>
        <v>14/10/2024</v>
      </c>
      <c r="C102" s="19">
        <f>'Data Mentah'!I99</f>
        <v>115</v>
      </c>
      <c r="D102" s="20">
        <f t="shared" si="14"/>
        <v>115.66968264994404</v>
      </c>
      <c r="E102" s="20">
        <f t="shared" si="15"/>
        <v>-0.72064668834216872</v>
      </c>
      <c r="F102" s="20">
        <f t="shared" si="16"/>
        <v>121.69682649944042</v>
      </c>
      <c r="G102" s="20">
        <f t="shared" si="17"/>
        <v>-6.6968264994404194</v>
      </c>
      <c r="H102" s="20">
        <f t="shared" si="18"/>
        <v>6.6968264994404194</v>
      </c>
      <c r="I102" s="21">
        <f t="shared" si="19"/>
        <v>44.847485163607423</v>
      </c>
      <c r="J102" s="21">
        <f t="shared" si="20"/>
        <v>5.8233273908177559</v>
      </c>
    </row>
    <row r="103" spans="1:10" x14ac:dyDescent="0.35">
      <c r="A103" s="6">
        <v>95</v>
      </c>
      <c r="B103" s="19" t="str">
        <f>'Data Mentah'!B100</f>
        <v>21/10/2024</v>
      </c>
      <c r="C103" s="19">
        <f>'Data Mentah'!I100</f>
        <v>124</v>
      </c>
      <c r="D103" s="20">
        <f t="shared" si="14"/>
        <v>123.09490359616019</v>
      </c>
      <c r="E103" s="20">
        <f t="shared" si="15"/>
        <v>9.3940075113663868E-2</v>
      </c>
      <c r="F103" s="20">
        <f t="shared" si="16"/>
        <v>114.94903596160187</v>
      </c>
      <c r="G103" s="20">
        <f t="shared" si="17"/>
        <v>9.0509640383981349</v>
      </c>
      <c r="H103" s="20">
        <f t="shared" si="18"/>
        <v>9.0509640383981349</v>
      </c>
      <c r="I103" s="21">
        <f t="shared" si="19"/>
        <v>81.919950024376277</v>
      </c>
      <c r="J103" s="21">
        <f t="shared" si="20"/>
        <v>7.2991645470952697</v>
      </c>
    </row>
    <row r="104" spans="1:10" x14ac:dyDescent="0.35">
      <c r="A104" s="6">
        <v>96</v>
      </c>
      <c r="B104" s="19" t="str">
        <f>'Data Mentah'!B101</f>
        <v>28/10/2024</v>
      </c>
      <c r="C104" s="19">
        <f>'Data Mentah'!I101</f>
        <v>113</v>
      </c>
      <c r="D104" s="20">
        <f t="shared" si="14"/>
        <v>114.01888436712738</v>
      </c>
      <c r="E104" s="20">
        <f t="shared" si="15"/>
        <v>-0.82305585530098357</v>
      </c>
      <c r="F104" s="20">
        <f t="shared" si="16"/>
        <v>123.18884367127386</v>
      </c>
      <c r="G104" s="20">
        <f t="shared" si="17"/>
        <v>-10.188843671273858</v>
      </c>
      <c r="H104" s="20">
        <f t="shared" si="18"/>
        <v>10.188843671273858</v>
      </c>
      <c r="I104" s="21">
        <f t="shared" si="19"/>
        <v>103.81253535765735</v>
      </c>
      <c r="J104" s="21">
        <f t="shared" si="20"/>
        <v>9.0166758152866002</v>
      </c>
    </row>
    <row r="105" spans="1:10" x14ac:dyDescent="0.35">
      <c r="A105" s="6">
        <v>97</v>
      </c>
      <c r="B105" s="19" t="str">
        <f>'Data Mentah'!B102</f>
        <v>04/11/2024</v>
      </c>
      <c r="C105" s="19">
        <f>'Data Mentah'!I102</f>
        <v>114</v>
      </c>
      <c r="D105" s="20">
        <f t="shared" ref="D105:D136" si="21">$E$4*C105+(1-$E$4)*(D104+E104)</f>
        <v>113.91958285118264</v>
      </c>
      <c r="E105" s="20">
        <f t="shared" ref="E105:E136" si="22">$H$4*(D105-D104)+(1-$H$4)*E104</f>
        <v>-0.75068042136535973</v>
      </c>
      <c r="F105" s="20">
        <f t="shared" ref="F105:F113" si="23">D104+E104</f>
        <v>113.19582851182641</v>
      </c>
      <c r="G105" s="20">
        <f t="shared" ref="G105:G136" si="24">C105-F105</f>
        <v>0.80417148817359418</v>
      </c>
      <c r="H105" s="20">
        <f t="shared" ref="H105:H136" si="25">ABS(G105)</f>
        <v>0.80417148817359418</v>
      </c>
      <c r="I105" s="21">
        <f t="shared" ref="I105:I113" si="26">G105^2</f>
        <v>0.64669178239133318</v>
      </c>
      <c r="J105" s="21">
        <f t="shared" ref="J105:J113" si="27">ABS(G105/C105)*100</f>
        <v>0.70541358611718785</v>
      </c>
    </row>
    <row r="106" spans="1:10" x14ac:dyDescent="0.35">
      <c r="A106" s="6">
        <v>98</v>
      </c>
      <c r="B106" s="19" t="str">
        <f>'Data Mentah'!B103</f>
        <v>11/11/2024</v>
      </c>
      <c r="C106" s="19">
        <f>'Data Mentah'!I103</f>
        <v>110</v>
      </c>
      <c r="D106" s="20">
        <f t="shared" si="21"/>
        <v>110.31689024298173</v>
      </c>
      <c r="E106" s="20">
        <f t="shared" si="22"/>
        <v>-1.035881640048915</v>
      </c>
      <c r="F106" s="20">
        <f t="shared" si="23"/>
        <v>113.16890242981728</v>
      </c>
      <c r="G106" s="20">
        <f t="shared" si="24"/>
        <v>-3.1689024298172797</v>
      </c>
      <c r="H106" s="20">
        <f t="shared" si="25"/>
        <v>3.1689024298172797</v>
      </c>
      <c r="I106" s="21">
        <f t="shared" si="26"/>
        <v>10.041942609701859</v>
      </c>
      <c r="J106" s="21">
        <f t="shared" si="27"/>
        <v>2.8808203907429815</v>
      </c>
    </row>
    <row r="107" spans="1:10" x14ac:dyDescent="0.35">
      <c r="A107" s="6">
        <v>99</v>
      </c>
      <c r="B107" s="19" t="str">
        <f>'Data Mentah'!B104</f>
        <v>18/11/2024</v>
      </c>
      <c r="C107" s="19">
        <f>'Data Mentah'!I104</f>
        <v>109</v>
      </c>
      <c r="D107" s="20">
        <f t="shared" si="21"/>
        <v>109.02810086029329</v>
      </c>
      <c r="E107" s="20">
        <f t="shared" si="22"/>
        <v>-1.0611724143128671</v>
      </c>
      <c r="F107" s="20">
        <f t="shared" si="23"/>
        <v>109.28100860293281</v>
      </c>
      <c r="G107" s="20">
        <f t="shared" si="24"/>
        <v>-0.28100860293281471</v>
      </c>
      <c r="H107" s="20">
        <f t="shared" si="25"/>
        <v>0.28100860293281471</v>
      </c>
      <c r="I107" s="21">
        <f t="shared" si="26"/>
        <v>7.8965834922252315E-2</v>
      </c>
      <c r="J107" s="21">
        <f t="shared" si="27"/>
        <v>0.25780605773652726</v>
      </c>
    </row>
    <row r="108" spans="1:10" x14ac:dyDescent="0.35">
      <c r="A108" s="6">
        <v>100</v>
      </c>
      <c r="B108" s="19" t="str">
        <f>'Data Mentah'!B105</f>
        <v>25/11/2024</v>
      </c>
      <c r="C108" s="19">
        <f>'Data Mentah'!I105</f>
        <v>114</v>
      </c>
      <c r="D108" s="20">
        <f t="shared" si="21"/>
        <v>113.39669284459805</v>
      </c>
      <c r="E108" s="20">
        <f t="shared" si="22"/>
        <v>-0.51819597445110477</v>
      </c>
      <c r="F108" s="20">
        <f t="shared" si="23"/>
        <v>107.96692844598043</v>
      </c>
      <c r="G108" s="20">
        <f t="shared" si="24"/>
        <v>6.0330715540195712</v>
      </c>
      <c r="H108" s="20">
        <f t="shared" si="25"/>
        <v>6.0330715540195712</v>
      </c>
      <c r="I108" s="21">
        <f t="shared" si="26"/>
        <v>36.397952375920127</v>
      </c>
      <c r="J108" s="21">
        <f t="shared" si="27"/>
        <v>5.2921680298417293</v>
      </c>
    </row>
    <row r="109" spans="1:10" x14ac:dyDescent="0.35">
      <c r="A109" s="6">
        <v>101</v>
      </c>
      <c r="B109" s="19" t="str">
        <f>'Data Mentah'!B106</f>
        <v>02/12/2024</v>
      </c>
      <c r="C109" s="19">
        <f>'Data Mentah'!I106</f>
        <v>117</v>
      </c>
      <c r="D109" s="20">
        <f t="shared" si="21"/>
        <v>116.58784968701468</v>
      </c>
      <c r="E109" s="20">
        <f t="shared" si="22"/>
        <v>-0.14726069276433112</v>
      </c>
      <c r="F109" s="20">
        <f t="shared" si="23"/>
        <v>112.87849687014695</v>
      </c>
      <c r="G109" s="20">
        <f t="shared" si="24"/>
        <v>4.1215031298530533</v>
      </c>
      <c r="H109" s="20">
        <f t="shared" si="25"/>
        <v>4.1215031298530533</v>
      </c>
      <c r="I109" s="21">
        <f t="shared" si="26"/>
        <v>16.986788049388515</v>
      </c>
      <c r="J109" s="21">
        <f t="shared" si="27"/>
        <v>3.5226522477376525</v>
      </c>
    </row>
    <row r="110" spans="1:10" x14ac:dyDescent="0.35">
      <c r="A110" s="6">
        <v>102</v>
      </c>
      <c r="B110" s="19" t="str">
        <f>'Data Mentah'!B107</f>
        <v>09/12/2024</v>
      </c>
      <c r="C110" s="19">
        <f>'Data Mentah'!I107</f>
        <v>128</v>
      </c>
      <c r="D110" s="20">
        <f t="shared" si="21"/>
        <v>126.84405889942504</v>
      </c>
      <c r="E110" s="20">
        <f t="shared" si="22"/>
        <v>0.89308629775313741</v>
      </c>
      <c r="F110" s="20">
        <f t="shared" si="23"/>
        <v>116.44058899425035</v>
      </c>
      <c r="G110" s="20">
        <f t="shared" si="24"/>
        <v>11.559411005749652</v>
      </c>
      <c r="H110" s="20">
        <f t="shared" si="25"/>
        <v>11.559411005749652</v>
      </c>
      <c r="I110" s="21">
        <f t="shared" si="26"/>
        <v>133.61998279984618</v>
      </c>
      <c r="J110" s="21">
        <f t="shared" si="27"/>
        <v>9.0307898482419162</v>
      </c>
    </row>
    <row r="111" spans="1:10" x14ac:dyDescent="0.35">
      <c r="A111" s="6">
        <v>103</v>
      </c>
      <c r="B111" s="19" t="str">
        <f>'Data Mentah'!B108</f>
        <v>16/12/2024</v>
      </c>
      <c r="C111" s="19">
        <f>'Data Mentah'!I108</f>
        <v>130</v>
      </c>
      <c r="D111" s="20">
        <f t="shared" si="21"/>
        <v>129.77371451971783</v>
      </c>
      <c r="E111" s="20">
        <f t="shared" si="22"/>
        <v>1.0967432300071029</v>
      </c>
      <c r="F111" s="20">
        <f t="shared" si="23"/>
        <v>127.73714519717818</v>
      </c>
      <c r="G111" s="20">
        <f t="shared" si="24"/>
        <v>2.2628548028218205</v>
      </c>
      <c r="H111" s="20">
        <f t="shared" si="25"/>
        <v>2.2628548028218205</v>
      </c>
      <c r="I111" s="21">
        <f t="shared" si="26"/>
        <v>5.1205118586537806</v>
      </c>
      <c r="J111" s="21">
        <f t="shared" si="27"/>
        <v>1.7406575406321696</v>
      </c>
    </row>
    <row r="112" spans="1:10" x14ac:dyDescent="0.35">
      <c r="A112" s="6">
        <v>104</v>
      </c>
      <c r="B112" s="19" t="str">
        <f>'Data Mentah'!B109</f>
        <v>23/12/2024</v>
      </c>
      <c r="C112" s="19">
        <f>'Data Mentah'!I109</f>
        <v>136</v>
      </c>
      <c r="D112" s="20">
        <f t="shared" si="21"/>
        <v>135.4870457749725</v>
      </c>
      <c r="E112" s="20">
        <f t="shared" si="22"/>
        <v>1.5584020325318599</v>
      </c>
      <c r="F112" s="20">
        <f t="shared" si="23"/>
        <v>130.87045774972492</v>
      </c>
      <c r="G112" s="20">
        <f t="shared" si="24"/>
        <v>5.1295422502750796</v>
      </c>
      <c r="H112" s="20">
        <f t="shared" si="25"/>
        <v>5.1295422502750796</v>
      </c>
      <c r="I112" s="21">
        <f t="shared" si="26"/>
        <v>26.312203697357127</v>
      </c>
      <c r="J112" s="21">
        <f t="shared" si="27"/>
        <v>3.7717222428493233</v>
      </c>
    </row>
    <row r="113" spans="1:10" x14ac:dyDescent="0.35">
      <c r="A113" s="6">
        <v>105</v>
      </c>
      <c r="B113" s="19" t="str">
        <f>'Data Mentah'!B110</f>
        <v>30/12/2024</v>
      </c>
      <c r="C113" s="19">
        <f>'Data Mentah'!I110</f>
        <v>114</v>
      </c>
      <c r="D113" s="20">
        <f t="shared" si="21"/>
        <v>116.30454478075045</v>
      </c>
      <c r="E113" s="20">
        <f t="shared" si="22"/>
        <v>-0.51568827014353147</v>
      </c>
      <c r="F113" s="20">
        <f t="shared" si="23"/>
        <v>137.04544780750436</v>
      </c>
      <c r="G113" s="20">
        <f t="shared" si="24"/>
        <v>-23.04544780750436</v>
      </c>
      <c r="H113" s="20">
        <f t="shared" si="25"/>
        <v>23.04544780750436</v>
      </c>
      <c r="I113" s="21">
        <f t="shared" si="26"/>
        <v>531.09266464840755</v>
      </c>
      <c r="J113" s="21">
        <f t="shared" si="27"/>
        <v>20.215305094302067</v>
      </c>
    </row>
    <row r="115" spans="1:10" x14ac:dyDescent="0.35">
      <c r="A115" s="2" t="s">
        <v>178</v>
      </c>
      <c r="B115" s="2"/>
      <c r="C115" s="2"/>
      <c r="D115" s="2"/>
    </row>
    <row r="116" spans="1:10" x14ac:dyDescent="0.35">
      <c r="A116" s="1" t="s">
        <v>179</v>
      </c>
      <c r="B116" s="1"/>
      <c r="C116" s="1"/>
      <c r="D116" s="22">
        <f>AVERAGE(H93:H113)</f>
        <v>6.6742092727999367</v>
      </c>
    </row>
    <row r="117" spans="1:10" x14ac:dyDescent="0.35">
      <c r="A117" s="1" t="s">
        <v>180</v>
      </c>
      <c r="B117" s="1"/>
      <c r="C117" s="1"/>
      <c r="D117" s="22">
        <f>AVERAGE(I93:I113)</f>
        <v>71.520529010538596</v>
      </c>
    </row>
    <row r="118" spans="1:10" x14ac:dyDescent="0.35">
      <c r="A118" s="1" t="s">
        <v>181</v>
      </c>
      <c r="B118" s="1"/>
      <c r="C118" s="1"/>
      <c r="D118" s="23">
        <f>AVERAGE(J93:J113)</f>
        <v>5.5075310646740929</v>
      </c>
    </row>
    <row r="119" spans="1:10" x14ac:dyDescent="0.35">
      <c r="A119" s="1" t="s">
        <v>182</v>
      </c>
      <c r="B119" s="1"/>
      <c r="C119" s="1"/>
      <c r="D119" s="24" t="str">
        <f>IF(D118&lt;10,"Sangat Baik",IF(D118&lt;20,"Baik",IF(D118&lt;=50,"Cukup","Rendah")))</f>
        <v>Sangat Baik</v>
      </c>
    </row>
    <row r="120" spans="1:10" x14ac:dyDescent="0.35">
      <c r="A120" s="1" t="s">
        <v>183</v>
      </c>
      <c r="B120" s="1"/>
      <c r="C120" s="1"/>
      <c r="D120" s="23">
        <f>D113+E113</f>
        <v>115.78885651060692</v>
      </c>
    </row>
    <row r="121" spans="1:10" x14ac:dyDescent="0.35">
      <c r="A121" s="1" t="s">
        <v>184</v>
      </c>
      <c r="B121" s="1"/>
      <c r="C121" s="1"/>
      <c r="D121" s="23">
        <f>AVERAGE(C9:C113)</f>
        <v>118.93333333333334</v>
      </c>
    </row>
  </sheetData>
  <mergeCells count="9">
    <mergeCell ref="A118:C118"/>
    <mergeCell ref="A119:C119"/>
    <mergeCell ref="A120:C120"/>
    <mergeCell ref="A121:C121"/>
    <mergeCell ref="A1:J1"/>
    <mergeCell ref="A2:J2"/>
    <mergeCell ref="A115:D115"/>
    <mergeCell ref="A116:C116"/>
    <mergeCell ref="A117:C117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121"/>
  <sheetViews>
    <sheetView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8.6328125" defaultRowHeight="14.5" x14ac:dyDescent="0.35"/>
  <cols>
    <col min="1" max="1" width="9" customWidth="1"/>
    <col min="2" max="2" width="12" customWidth="1"/>
    <col min="3" max="3" width="9" customWidth="1"/>
    <col min="4" max="6" width="11" customWidth="1"/>
    <col min="7" max="8" width="10" customWidth="1"/>
    <col min="9" max="9" width="11" customWidth="1"/>
    <col min="10" max="10" width="10" customWidth="1"/>
  </cols>
  <sheetData>
    <row r="1" spans="1:10" ht="18" x14ac:dyDescent="0.4">
      <c r="A1" s="3" t="s">
        <v>191</v>
      </c>
      <c r="B1" s="3"/>
      <c r="C1" s="3"/>
      <c r="D1" s="3"/>
      <c r="E1" s="3"/>
      <c r="F1" s="3"/>
      <c r="G1" s="3"/>
      <c r="H1" s="3"/>
      <c r="I1" s="3"/>
      <c r="J1" s="3"/>
    </row>
    <row r="2" spans="1:10" ht="27.75" customHeight="1" x14ac:dyDescent="0.35">
      <c r="A2" s="4" t="s">
        <v>163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35">
      <c r="A4" s="15" t="s">
        <v>164</v>
      </c>
      <c r="B4" s="16" t="s">
        <v>19</v>
      </c>
      <c r="D4" s="15" t="s">
        <v>165</v>
      </c>
      <c r="E4" s="17">
        <v>0.8</v>
      </c>
      <c r="G4" s="15" t="s">
        <v>166</v>
      </c>
      <c r="H4" s="17">
        <v>0.1</v>
      </c>
    </row>
    <row r="5" spans="1:10" x14ac:dyDescent="0.35">
      <c r="A5" s="15" t="s">
        <v>167</v>
      </c>
      <c r="B5" s="18">
        <f>'Data Mentah'!Q5</f>
        <v>13</v>
      </c>
      <c r="D5" s="15" t="s">
        <v>168</v>
      </c>
      <c r="E5" s="17">
        <v>0</v>
      </c>
    </row>
    <row r="7" spans="1:10" x14ac:dyDescent="0.35">
      <c r="A7" s="5" t="s">
        <v>169</v>
      </c>
      <c r="B7" s="5" t="s">
        <v>4</v>
      </c>
      <c r="C7" s="5" t="s">
        <v>170</v>
      </c>
      <c r="D7" s="5" t="s">
        <v>171</v>
      </c>
      <c r="E7" s="5" t="s">
        <v>172</v>
      </c>
      <c r="F7" s="5" t="s">
        <v>173</v>
      </c>
      <c r="G7" s="5" t="s">
        <v>174</v>
      </c>
      <c r="H7" s="5" t="s">
        <v>175</v>
      </c>
      <c r="I7" s="5" t="s">
        <v>176</v>
      </c>
      <c r="J7" s="5" t="s">
        <v>177</v>
      </c>
    </row>
    <row r="8" spans="1:10" x14ac:dyDescent="0.35">
      <c r="A8" s="6">
        <v>0</v>
      </c>
      <c r="B8" s="19" t="str">
        <f>'Data Mentah'!B5</f>
        <v>26/12/2022</v>
      </c>
      <c r="C8" s="19">
        <f>'Data Mentah'!Q5</f>
        <v>13</v>
      </c>
      <c r="D8" s="10">
        <f>$B$5</f>
        <v>13</v>
      </c>
      <c r="E8" s="10">
        <f>$E$5</f>
        <v>0</v>
      </c>
    </row>
    <row r="9" spans="1:10" x14ac:dyDescent="0.35">
      <c r="A9" s="6">
        <v>1</v>
      </c>
      <c r="B9" s="19" t="str">
        <f>'Data Mentah'!B6</f>
        <v>02/01/2023</v>
      </c>
      <c r="C9" s="19">
        <f>'Data Mentah'!Q6</f>
        <v>71</v>
      </c>
      <c r="D9" s="20">
        <f t="shared" ref="D9:D40" si="0">$E$4*C9+(1-$E$4)*(D8+E8)</f>
        <v>59.400000000000006</v>
      </c>
      <c r="E9" s="20">
        <f t="shared" ref="E9:E40" si="1">$H$4*(D9-D8)+(1-$H$4)*E8</f>
        <v>4.6400000000000006</v>
      </c>
      <c r="F9" s="20">
        <f t="shared" ref="F9:F40" si="2">D8+E8</f>
        <v>13</v>
      </c>
      <c r="G9" s="20">
        <f t="shared" ref="G9:G40" si="3">C9-F9</f>
        <v>58</v>
      </c>
      <c r="H9" s="20">
        <f t="shared" ref="H9:H40" si="4">ABS(G9)</f>
        <v>58</v>
      </c>
      <c r="I9" s="21">
        <f t="shared" ref="I9:I40" si="5">G9^2</f>
        <v>3364</v>
      </c>
      <c r="J9" s="21">
        <f t="shared" ref="J9:J40" si="6">ABS(G9/C9)*100</f>
        <v>81.690140845070431</v>
      </c>
    </row>
    <row r="10" spans="1:10" x14ac:dyDescent="0.35">
      <c r="A10" s="6">
        <v>2</v>
      </c>
      <c r="B10" s="19" t="str">
        <f>'Data Mentah'!B7</f>
        <v>09/01/2023</v>
      </c>
      <c r="C10" s="19">
        <f>'Data Mentah'!Q7</f>
        <v>88</v>
      </c>
      <c r="D10" s="20">
        <f t="shared" si="0"/>
        <v>83.207999999999998</v>
      </c>
      <c r="E10" s="20">
        <f t="shared" si="1"/>
        <v>6.5568000000000008</v>
      </c>
      <c r="F10" s="20">
        <f t="shared" si="2"/>
        <v>64.040000000000006</v>
      </c>
      <c r="G10" s="20">
        <f t="shared" si="3"/>
        <v>23.959999999999994</v>
      </c>
      <c r="H10" s="20">
        <f t="shared" si="4"/>
        <v>23.959999999999994</v>
      </c>
      <c r="I10" s="21">
        <f t="shared" si="5"/>
        <v>574.08159999999975</v>
      </c>
      <c r="J10" s="21">
        <f t="shared" si="6"/>
        <v>27.227272727272723</v>
      </c>
    </row>
    <row r="11" spans="1:10" x14ac:dyDescent="0.35">
      <c r="A11" s="6">
        <v>3</v>
      </c>
      <c r="B11" s="19" t="str">
        <f>'Data Mentah'!B8</f>
        <v>16/01/2023</v>
      </c>
      <c r="C11" s="19">
        <f>'Data Mentah'!Q8</f>
        <v>94</v>
      </c>
      <c r="D11" s="20">
        <f t="shared" si="0"/>
        <v>93.152959999999993</v>
      </c>
      <c r="E11" s="20">
        <f t="shared" si="1"/>
        <v>6.8956160000000004</v>
      </c>
      <c r="F11" s="20">
        <f t="shared" si="2"/>
        <v>89.764799999999994</v>
      </c>
      <c r="G11" s="20">
        <f t="shared" si="3"/>
        <v>4.2352000000000061</v>
      </c>
      <c r="H11" s="20">
        <f t="shared" si="4"/>
        <v>4.2352000000000061</v>
      </c>
      <c r="I11" s="21">
        <f t="shared" si="5"/>
        <v>17.936919040000053</v>
      </c>
      <c r="J11" s="21">
        <f t="shared" si="6"/>
        <v>4.5055319148936235</v>
      </c>
    </row>
    <row r="12" spans="1:10" x14ac:dyDescent="0.35">
      <c r="A12" s="6">
        <v>4</v>
      </c>
      <c r="B12" s="19" t="str">
        <f>'Data Mentah'!B9</f>
        <v>23/01/2023</v>
      </c>
      <c r="C12" s="19">
        <f>'Data Mentah'!Q9</f>
        <v>125</v>
      </c>
      <c r="D12" s="20">
        <f t="shared" si="0"/>
        <v>120.00971519999999</v>
      </c>
      <c r="E12" s="20">
        <f t="shared" si="1"/>
        <v>8.8917299199999995</v>
      </c>
      <c r="F12" s="20">
        <f t="shared" si="2"/>
        <v>100.048576</v>
      </c>
      <c r="G12" s="20">
        <f t="shared" si="3"/>
        <v>24.951424000000003</v>
      </c>
      <c r="H12" s="20">
        <f t="shared" si="4"/>
        <v>24.951424000000003</v>
      </c>
      <c r="I12" s="21">
        <f t="shared" si="5"/>
        <v>622.57355962777615</v>
      </c>
      <c r="J12" s="21">
        <f t="shared" si="6"/>
        <v>19.961139200000002</v>
      </c>
    </row>
    <row r="13" spans="1:10" x14ac:dyDescent="0.35">
      <c r="A13" s="6">
        <v>5</v>
      </c>
      <c r="B13" s="19" t="str">
        <f>'Data Mentah'!B10</f>
        <v>30/01/2023</v>
      </c>
      <c r="C13" s="19">
        <f>'Data Mentah'!Q10</f>
        <v>125</v>
      </c>
      <c r="D13" s="20">
        <f t="shared" si="0"/>
        <v>125.78028902399998</v>
      </c>
      <c r="E13" s="20">
        <f t="shared" si="1"/>
        <v>8.5796143104000002</v>
      </c>
      <c r="F13" s="20">
        <f t="shared" si="2"/>
        <v>128.90144511999998</v>
      </c>
      <c r="G13" s="20">
        <f t="shared" si="3"/>
        <v>-3.9014451199999769</v>
      </c>
      <c r="H13" s="20">
        <f t="shared" si="4"/>
        <v>3.9014451199999769</v>
      </c>
      <c r="I13" s="21">
        <f t="shared" si="5"/>
        <v>15.221274024371635</v>
      </c>
      <c r="J13" s="21">
        <f t="shared" si="6"/>
        <v>3.1211560959999813</v>
      </c>
    </row>
    <row r="14" spans="1:10" x14ac:dyDescent="0.35">
      <c r="A14" s="6">
        <v>6</v>
      </c>
      <c r="B14" s="19" t="str">
        <f>'Data Mentah'!B11</f>
        <v>06/02/2023</v>
      </c>
      <c r="C14" s="19">
        <f>'Data Mentah'!Q11</f>
        <v>125</v>
      </c>
      <c r="D14" s="20">
        <f t="shared" si="0"/>
        <v>126.87198066687999</v>
      </c>
      <c r="E14" s="20">
        <f t="shared" si="1"/>
        <v>7.8308220436480012</v>
      </c>
      <c r="F14" s="20">
        <f t="shared" si="2"/>
        <v>134.35990333439997</v>
      </c>
      <c r="G14" s="20">
        <f t="shared" si="3"/>
        <v>-9.3599033343999736</v>
      </c>
      <c r="H14" s="20">
        <f t="shared" si="4"/>
        <v>9.3599033343999736</v>
      </c>
      <c r="I14" s="21">
        <f t="shared" si="5"/>
        <v>87.607790429311748</v>
      </c>
      <c r="J14" s="21">
        <f t="shared" si="6"/>
        <v>7.487922667519979</v>
      </c>
    </row>
    <row r="15" spans="1:10" x14ac:dyDescent="0.35">
      <c r="A15" s="6">
        <v>7</v>
      </c>
      <c r="B15" s="19" t="str">
        <f>'Data Mentah'!B12</f>
        <v>13/02/2023</v>
      </c>
      <c r="C15" s="19">
        <f>'Data Mentah'!Q12</f>
        <v>119</v>
      </c>
      <c r="D15" s="20">
        <f t="shared" si="0"/>
        <v>122.14056054210559</v>
      </c>
      <c r="E15" s="20">
        <f t="shared" si="1"/>
        <v>6.5745978268057605</v>
      </c>
      <c r="F15" s="20">
        <f t="shared" si="2"/>
        <v>134.702802710528</v>
      </c>
      <c r="G15" s="20">
        <f t="shared" si="3"/>
        <v>-15.702802710528005</v>
      </c>
      <c r="H15" s="20">
        <f t="shared" si="4"/>
        <v>15.702802710528005</v>
      </c>
      <c r="I15" s="21">
        <f t="shared" si="5"/>
        <v>246.57801296576565</v>
      </c>
      <c r="J15" s="21">
        <f t="shared" si="6"/>
        <v>13.195632529855466</v>
      </c>
    </row>
    <row r="16" spans="1:10" x14ac:dyDescent="0.35">
      <c r="A16" s="6">
        <v>8</v>
      </c>
      <c r="B16" s="19" t="str">
        <f>'Data Mentah'!B13</f>
        <v>20/02/2023</v>
      </c>
      <c r="C16" s="19">
        <f>'Data Mentah'!Q13</f>
        <v>118</v>
      </c>
      <c r="D16" s="20">
        <f t="shared" si="0"/>
        <v>120.14303167378227</v>
      </c>
      <c r="E16" s="20">
        <f t="shared" si="1"/>
        <v>5.7173851572928536</v>
      </c>
      <c r="F16" s="20">
        <f t="shared" si="2"/>
        <v>128.71515836891135</v>
      </c>
      <c r="G16" s="20">
        <f t="shared" si="3"/>
        <v>-10.715158368911347</v>
      </c>
      <c r="H16" s="20">
        <f t="shared" si="4"/>
        <v>10.715158368911347</v>
      </c>
      <c r="I16" s="21">
        <f t="shared" si="5"/>
        <v>114.81461887085086</v>
      </c>
      <c r="J16" s="21">
        <f t="shared" si="6"/>
        <v>9.0806426855180913</v>
      </c>
    </row>
    <row r="17" spans="1:10" x14ac:dyDescent="0.35">
      <c r="A17" s="6">
        <v>9</v>
      </c>
      <c r="B17" s="19" t="str">
        <f>'Data Mentah'!B14</f>
        <v>27/02/2023</v>
      </c>
      <c r="C17" s="19">
        <f>'Data Mentah'!Q14</f>
        <v>112</v>
      </c>
      <c r="D17" s="20">
        <f t="shared" si="0"/>
        <v>114.77208336621503</v>
      </c>
      <c r="E17" s="20">
        <f t="shared" si="1"/>
        <v>4.6085518108068442</v>
      </c>
      <c r="F17" s="20">
        <f t="shared" si="2"/>
        <v>125.86041683107513</v>
      </c>
      <c r="G17" s="20">
        <f t="shared" si="3"/>
        <v>-13.860416831075128</v>
      </c>
      <c r="H17" s="20">
        <f t="shared" si="4"/>
        <v>13.860416831075128</v>
      </c>
      <c r="I17" s="21">
        <f t="shared" si="5"/>
        <v>192.11115473115069</v>
      </c>
      <c r="J17" s="21">
        <f t="shared" si="6"/>
        <v>12.375372170602793</v>
      </c>
    </row>
    <row r="18" spans="1:10" x14ac:dyDescent="0.35">
      <c r="A18" s="6">
        <v>10</v>
      </c>
      <c r="B18" s="19" t="str">
        <f>'Data Mentah'!B15</f>
        <v>06/03/2023</v>
      </c>
      <c r="C18" s="19">
        <f>'Data Mentah'!Q15</f>
        <v>108</v>
      </c>
      <c r="D18" s="20">
        <f t="shared" si="0"/>
        <v>110.27612703540437</v>
      </c>
      <c r="E18" s="20">
        <f t="shared" si="1"/>
        <v>3.6981009966450942</v>
      </c>
      <c r="F18" s="20">
        <f t="shared" si="2"/>
        <v>119.38063517702187</v>
      </c>
      <c r="G18" s="20">
        <f t="shared" si="3"/>
        <v>-11.380635177021873</v>
      </c>
      <c r="H18" s="20">
        <f t="shared" si="4"/>
        <v>11.380635177021873</v>
      </c>
      <c r="I18" s="21">
        <f t="shared" si="5"/>
        <v>129.51885703246768</v>
      </c>
      <c r="J18" s="21">
        <f t="shared" si="6"/>
        <v>10.537625163909141</v>
      </c>
    </row>
    <row r="19" spans="1:10" x14ac:dyDescent="0.35">
      <c r="A19" s="6">
        <v>11</v>
      </c>
      <c r="B19" s="19" t="str">
        <f>'Data Mentah'!B16</f>
        <v>13/03/2023</v>
      </c>
      <c r="C19" s="19">
        <f>'Data Mentah'!Q16</f>
        <v>112</v>
      </c>
      <c r="D19" s="20">
        <f t="shared" si="0"/>
        <v>112.3948456064099</v>
      </c>
      <c r="E19" s="20">
        <f t="shared" si="1"/>
        <v>3.540162754081138</v>
      </c>
      <c r="F19" s="20">
        <f t="shared" si="2"/>
        <v>113.97422803204947</v>
      </c>
      <c r="G19" s="20">
        <f t="shared" si="3"/>
        <v>-1.9742280320494672</v>
      </c>
      <c r="H19" s="20">
        <f t="shared" si="4"/>
        <v>1.9742280320494672</v>
      </c>
      <c r="I19" s="21">
        <f t="shared" si="5"/>
        <v>3.897576322529912</v>
      </c>
      <c r="J19" s="21">
        <f t="shared" si="6"/>
        <v>1.7627036000441669</v>
      </c>
    </row>
    <row r="20" spans="1:10" x14ac:dyDescent="0.35">
      <c r="A20" s="6">
        <v>12</v>
      </c>
      <c r="B20" s="19" t="str">
        <f>'Data Mentah'!B17</f>
        <v>20/03/2023</v>
      </c>
      <c r="C20" s="19">
        <f>'Data Mentah'!Q17</f>
        <v>112</v>
      </c>
      <c r="D20" s="20">
        <f t="shared" si="0"/>
        <v>112.78700167209821</v>
      </c>
      <c r="E20" s="20">
        <f t="shared" si="1"/>
        <v>3.2253620852418554</v>
      </c>
      <c r="F20" s="20">
        <f t="shared" si="2"/>
        <v>115.93500836049104</v>
      </c>
      <c r="G20" s="20">
        <f t="shared" si="3"/>
        <v>-3.9350083604910395</v>
      </c>
      <c r="H20" s="20">
        <f t="shared" si="4"/>
        <v>3.9350083604910395</v>
      </c>
      <c r="I20" s="21">
        <f t="shared" si="5"/>
        <v>15.48429079713438</v>
      </c>
      <c r="J20" s="21">
        <f t="shared" si="6"/>
        <v>3.5134003218669996</v>
      </c>
    </row>
    <row r="21" spans="1:10" x14ac:dyDescent="0.35">
      <c r="A21" s="6">
        <v>13</v>
      </c>
      <c r="B21" s="19" t="str">
        <f>'Data Mentah'!B18</f>
        <v>27/03/2023</v>
      </c>
      <c r="C21" s="19">
        <f>'Data Mentah'!Q18</f>
        <v>117</v>
      </c>
      <c r="D21" s="20">
        <f t="shared" si="0"/>
        <v>116.80247275146802</v>
      </c>
      <c r="E21" s="20">
        <f t="shared" si="1"/>
        <v>3.3043729846546501</v>
      </c>
      <c r="F21" s="20">
        <f t="shared" si="2"/>
        <v>116.01236375734007</v>
      </c>
      <c r="G21" s="20">
        <f t="shared" si="3"/>
        <v>0.98763624265993144</v>
      </c>
      <c r="H21" s="20">
        <f t="shared" si="4"/>
        <v>0.98763624265993144</v>
      </c>
      <c r="I21" s="21">
        <f t="shared" si="5"/>
        <v>0.975425347815427</v>
      </c>
      <c r="J21" s="21">
        <f t="shared" si="6"/>
        <v>0.84413354073498403</v>
      </c>
    </row>
    <row r="22" spans="1:10" x14ac:dyDescent="0.35">
      <c r="A22" s="6">
        <v>14</v>
      </c>
      <c r="B22" s="19" t="str">
        <f>'Data Mentah'!B19</f>
        <v>03/04/2023</v>
      </c>
      <c r="C22" s="19">
        <f>'Data Mentah'!Q19</f>
        <v>117</v>
      </c>
      <c r="D22" s="20">
        <f t="shared" si="0"/>
        <v>117.62136914722453</v>
      </c>
      <c r="E22" s="20">
        <f t="shared" si="1"/>
        <v>3.055825325764836</v>
      </c>
      <c r="F22" s="20">
        <f t="shared" si="2"/>
        <v>120.10684573612266</v>
      </c>
      <c r="G22" s="20">
        <f t="shared" si="3"/>
        <v>-3.1068457361226649</v>
      </c>
      <c r="H22" s="20">
        <f t="shared" si="4"/>
        <v>3.1068457361226649</v>
      </c>
      <c r="I22" s="21">
        <f t="shared" si="5"/>
        <v>9.652490428063583</v>
      </c>
      <c r="J22" s="21">
        <f t="shared" si="6"/>
        <v>2.6554237060877477</v>
      </c>
    </row>
    <row r="23" spans="1:10" x14ac:dyDescent="0.35">
      <c r="A23" s="6">
        <v>15</v>
      </c>
      <c r="B23" s="19" t="str">
        <f>'Data Mentah'!B20</f>
        <v>10/04/2023</v>
      </c>
      <c r="C23" s="19">
        <f>'Data Mentah'!Q20</f>
        <v>124</v>
      </c>
      <c r="D23" s="20">
        <f t="shared" si="0"/>
        <v>123.33543889459787</v>
      </c>
      <c r="E23" s="20">
        <f t="shared" si="1"/>
        <v>3.3216497679256869</v>
      </c>
      <c r="F23" s="20">
        <f t="shared" si="2"/>
        <v>120.67719447298936</v>
      </c>
      <c r="G23" s="20">
        <f t="shared" si="3"/>
        <v>3.3228055270106438</v>
      </c>
      <c r="H23" s="20">
        <f t="shared" si="4"/>
        <v>3.3228055270106438</v>
      </c>
      <c r="I23" s="21">
        <f t="shared" si="5"/>
        <v>11.041036570332482</v>
      </c>
      <c r="J23" s="21">
        <f t="shared" si="6"/>
        <v>2.6796818766214869</v>
      </c>
    </row>
    <row r="24" spans="1:10" x14ac:dyDescent="0.35">
      <c r="A24" s="6">
        <v>16</v>
      </c>
      <c r="B24" s="19" t="str">
        <f>'Data Mentah'!B21</f>
        <v>17/04/2023</v>
      </c>
      <c r="C24" s="19">
        <f>'Data Mentah'!Q21</f>
        <v>118</v>
      </c>
      <c r="D24" s="20">
        <f t="shared" si="0"/>
        <v>119.73141773250471</v>
      </c>
      <c r="E24" s="20">
        <f t="shared" si="1"/>
        <v>2.6290826749238021</v>
      </c>
      <c r="F24" s="20">
        <f t="shared" si="2"/>
        <v>126.65708866252356</v>
      </c>
      <c r="G24" s="20">
        <f t="shared" si="3"/>
        <v>-8.657088662523563</v>
      </c>
      <c r="H24" s="20">
        <f t="shared" si="4"/>
        <v>8.657088662523563</v>
      </c>
      <c r="I24" s="21">
        <f t="shared" si="5"/>
        <v>74.945184110794017</v>
      </c>
      <c r="J24" s="21">
        <f t="shared" si="6"/>
        <v>7.3365158156979344</v>
      </c>
    </row>
    <row r="25" spans="1:10" x14ac:dyDescent="0.35">
      <c r="A25" s="6">
        <v>17</v>
      </c>
      <c r="B25" s="19" t="str">
        <f>'Data Mentah'!B22</f>
        <v>24/04/2023</v>
      </c>
      <c r="C25" s="19">
        <f>'Data Mentah'!Q22</f>
        <v>111</v>
      </c>
      <c r="D25" s="20">
        <f t="shared" si="0"/>
        <v>113.27210008148572</v>
      </c>
      <c r="E25" s="20">
        <f t="shared" si="1"/>
        <v>1.7202426423295227</v>
      </c>
      <c r="F25" s="20">
        <f t="shared" si="2"/>
        <v>122.36050040742852</v>
      </c>
      <c r="G25" s="20">
        <f t="shared" si="3"/>
        <v>-11.360500407428518</v>
      </c>
      <c r="H25" s="20">
        <f t="shared" si="4"/>
        <v>11.360500407428518</v>
      </c>
      <c r="I25" s="21">
        <f t="shared" si="5"/>
        <v>129.06096950718353</v>
      </c>
      <c r="J25" s="21">
        <f t="shared" si="6"/>
        <v>10.234685051737404</v>
      </c>
    </row>
    <row r="26" spans="1:10" x14ac:dyDescent="0.35">
      <c r="A26" s="6">
        <v>18</v>
      </c>
      <c r="B26" s="19" t="str">
        <f>'Data Mentah'!B23</f>
        <v>01/05/2023</v>
      </c>
      <c r="C26" s="19">
        <f>'Data Mentah'!Q23</f>
        <v>115</v>
      </c>
      <c r="D26" s="20">
        <f t="shared" si="0"/>
        <v>114.99846854476304</v>
      </c>
      <c r="E26" s="20">
        <f t="shared" si="1"/>
        <v>1.7208552244243032</v>
      </c>
      <c r="F26" s="20">
        <f t="shared" si="2"/>
        <v>114.99234272381524</v>
      </c>
      <c r="G26" s="20">
        <f t="shared" si="3"/>
        <v>7.6572761847586435E-3</v>
      </c>
      <c r="H26" s="20">
        <f t="shared" si="4"/>
        <v>7.6572761847586435E-3</v>
      </c>
      <c r="I26" s="21">
        <f t="shared" si="5"/>
        <v>5.8633878569671888E-5</v>
      </c>
      <c r="J26" s="21">
        <f t="shared" si="6"/>
        <v>6.6585010302249075E-3</v>
      </c>
    </row>
    <row r="27" spans="1:10" x14ac:dyDescent="0.35">
      <c r="A27" s="6">
        <v>19</v>
      </c>
      <c r="B27" s="19" t="str">
        <f>'Data Mentah'!B24</f>
        <v>08/05/2023</v>
      </c>
      <c r="C27" s="19">
        <f>'Data Mentah'!Q24</f>
        <v>118</v>
      </c>
      <c r="D27" s="20">
        <f t="shared" si="0"/>
        <v>117.74386475383747</v>
      </c>
      <c r="E27" s="20">
        <f t="shared" si="1"/>
        <v>1.8233093228893158</v>
      </c>
      <c r="F27" s="20">
        <f t="shared" si="2"/>
        <v>116.71932376918734</v>
      </c>
      <c r="G27" s="20">
        <f t="shared" si="3"/>
        <v>1.2806762308126594</v>
      </c>
      <c r="H27" s="20">
        <f t="shared" si="4"/>
        <v>1.2806762308126594</v>
      </c>
      <c r="I27" s="21">
        <f t="shared" si="5"/>
        <v>1.64013160816852</v>
      </c>
      <c r="J27" s="21">
        <f t="shared" si="6"/>
        <v>1.0853188396717453</v>
      </c>
    </row>
    <row r="28" spans="1:10" x14ac:dyDescent="0.35">
      <c r="A28" s="6">
        <v>20</v>
      </c>
      <c r="B28" s="19" t="str">
        <f>'Data Mentah'!B25</f>
        <v>15/05/2023</v>
      </c>
      <c r="C28" s="19">
        <f>'Data Mentah'!Q25</f>
        <v>113</v>
      </c>
      <c r="D28" s="20">
        <f t="shared" si="0"/>
        <v>114.31343481534536</v>
      </c>
      <c r="E28" s="20">
        <f t="shared" si="1"/>
        <v>1.2979353967511731</v>
      </c>
      <c r="F28" s="20">
        <f t="shared" si="2"/>
        <v>119.56717407672679</v>
      </c>
      <c r="G28" s="20">
        <f t="shared" si="3"/>
        <v>-6.5671740767267863</v>
      </c>
      <c r="H28" s="20">
        <f t="shared" si="4"/>
        <v>6.5671740767267863</v>
      </c>
      <c r="I28" s="21">
        <f t="shared" si="5"/>
        <v>43.127775354032316</v>
      </c>
      <c r="J28" s="21">
        <f t="shared" si="6"/>
        <v>5.8116584749794571</v>
      </c>
    </row>
    <row r="29" spans="1:10" x14ac:dyDescent="0.35">
      <c r="A29" s="6">
        <v>21</v>
      </c>
      <c r="B29" s="19" t="str">
        <f>'Data Mentah'!B26</f>
        <v>22/05/2023</v>
      </c>
      <c r="C29" s="19">
        <f>'Data Mentah'!Q26</f>
        <v>120</v>
      </c>
      <c r="D29" s="20">
        <f t="shared" si="0"/>
        <v>119.12227404241931</v>
      </c>
      <c r="E29" s="20">
        <f t="shared" si="1"/>
        <v>1.6490257797834504</v>
      </c>
      <c r="F29" s="20">
        <f t="shared" si="2"/>
        <v>115.61137021209653</v>
      </c>
      <c r="G29" s="20">
        <f t="shared" si="3"/>
        <v>4.3886297879034686</v>
      </c>
      <c r="H29" s="20">
        <f t="shared" si="4"/>
        <v>4.3886297879034686</v>
      </c>
      <c r="I29" s="21">
        <f t="shared" si="5"/>
        <v>19.260071415273643</v>
      </c>
      <c r="J29" s="21">
        <f t="shared" si="6"/>
        <v>3.657191489919557</v>
      </c>
    </row>
    <row r="30" spans="1:10" x14ac:dyDescent="0.35">
      <c r="A30" s="6">
        <v>22</v>
      </c>
      <c r="B30" s="19" t="str">
        <f>'Data Mentah'!B27</f>
        <v>29/05/2023</v>
      </c>
      <c r="C30" s="19">
        <f>'Data Mentah'!Q27</f>
        <v>126</v>
      </c>
      <c r="D30" s="20">
        <f t="shared" si="0"/>
        <v>124.95425996444055</v>
      </c>
      <c r="E30" s="20">
        <f t="shared" si="1"/>
        <v>2.0673217940072299</v>
      </c>
      <c r="F30" s="20">
        <f t="shared" si="2"/>
        <v>120.77129982220276</v>
      </c>
      <c r="G30" s="20">
        <f t="shared" si="3"/>
        <v>5.2287001777972364</v>
      </c>
      <c r="H30" s="20">
        <f t="shared" si="4"/>
        <v>5.2287001777972364</v>
      </c>
      <c r="I30" s="21">
        <f t="shared" si="5"/>
        <v>27.339305549296853</v>
      </c>
      <c r="J30" s="21">
        <f t="shared" si="6"/>
        <v>4.1497620458708226</v>
      </c>
    </row>
    <row r="31" spans="1:10" x14ac:dyDescent="0.35">
      <c r="A31" s="6">
        <v>23</v>
      </c>
      <c r="B31" s="19" t="str">
        <f>'Data Mentah'!B28</f>
        <v>05/06/2023</v>
      </c>
      <c r="C31" s="19">
        <f>'Data Mentah'!Q28</f>
        <v>111</v>
      </c>
      <c r="D31" s="20">
        <f t="shared" si="0"/>
        <v>114.20431635168956</v>
      </c>
      <c r="E31" s="20">
        <f t="shared" si="1"/>
        <v>0.78559525333140745</v>
      </c>
      <c r="F31" s="20">
        <f t="shared" si="2"/>
        <v>127.02158175844778</v>
      </c>
      <c r="G31" s="20">
        <f t="shared" si="3"/>
        <v>-16.02158175844778</v>
      </c>
      <c r="H31" s="20">
        <f t="shared" si="4"/>
        <v>16.02158175844778</v>
      </c>
      <c r="I31" s="21">
        <f t="shared" si="5"/>
        <v>256.69108204262665</v>
      </c>
      <c r="J31" s="21">
        <f t="shared" si="6"/>
        <v>14.433857440043047</v>
      </c>
    </row>
    <row r="32" spans="1:10" x14ac:dyDescent="0.35">
      <c r="A32" s="6">
        <v>24</v>
      </c>
      <c r="B32" s="19" t="str">
        <f>'Data Mentah'!B29</f>
        <v>12/06/2023</v>
      </c>
      <c r="C32" s="19">
        <f>'Data Mentah'!Q29</f>
        <v>119</v>
      </c>
      <c r="D32" s="20">
        <f t="shared" si="0"/>
        <v>118.19798232100419</v>
      </c>
      <c r="E32" s="20">
        <f t="shared" si="1"/>
        <v>1.1064023249297301</v>
      </c>
      <c r="F32" s="20">
        <f t="shared" si="2"/>
        <v>114.98991160502096</v>
      </c>
      <c r="G32" s="20">
        <f t="shared" si="3"/>
        <v>4.0100883949790358</v>
      </c>
      <c r="H32" s="20">
        <f t="shared" si="4"/>
        <v>4.0100883949790358</v>
      </c>
      <c r="I32" s="21">
        <f t="shared" si="5"/>
        <v>16.080808935545541</v>
      </c>
      <c r="J32" s="21">
        <f t="shared" si="6"/>
        <v>3.3698221806546518</v>
      </c>
    </row>
    <row r="33" spans="1:10" x14ac:dyDescent="0.35">
      <c r="A33" s="6">
        <v>25</v>
      </c>
      <c r="B33" s="19" t="str">
        <f>'Data Mentah'!B30</f>
        <v>19/06/2023</v>
      </c>
      <c r="C33" s="19">
        <f>'Data Mentah'!Q30</f>
        <v>112</v>
      </c>
      <c r="D33" s="20">
        <f t="shared" si="0"/>
        <v>113.46087692918678</v>
      </c>
      <c r="E33" s="20">
        <f t="shared" si="1"/>
        <v>0.52205155325501629</v>
      </c>
      <c r="F33" s="20">
        <f t="shared" si="2"/>
        <v>119.30438464593392</v>
      </c>
      <c r="G33" s="20">
        <f t="shared" si="3"/>
        <v>-7.3043846459339221</v>
      </c>
      <c r="H33" s="20">
        <f t="shared" si="4"/>
        <v>7.3043846459339221</v>
      </c>
      <c r="I33" s="21">
        <f t="shared" si="5"/>
        <v>53.354035055755226</v>
      </c>
      <c r="J33" s="21">
        <f t="shared" si="6"/>
        <v>6.5217720052981445</v>
      </c>
    </row>
    <row r="34" spans="1:10" x14ac:dyDescent="0.35">
      <c r="A34" s="6">
        <v>26</v>
      </c>
      <c r="B34" s="19" t="str">
        <f>'Data Mentah'!B31</f>
        <v>26/06/2023</v>
      </c>
      <c r="C34" s="19">
        <f>'Data Mentah'!Q31</f>
        <v>109</v>
      </c>
      <c r="D34" s="20">
        <f t="shared" si="0"/>
        <v>109.99658569648835</v>
      </c>
      <c r="E34" s="20">
        <f t="shared" si="1"/>
        <v>0.12341727465967178</v>
      </c>
      <c r="F34" s="20">
        <f t="shared" si="2"/>
        <v>113.98292848244179</v>
      </c>
      <c r="G34" s="20">
        <f t="shared" si="3"/>
        <v>-4.9829284824417925</v>
      </c>
      <c r="H34" s="20">
        <f t="shared" si="4"/>
        <v>4.9829284824417925</v>
      </c>
      <c r="I34" s="21">
        <f t="shared" si="5"/>
        <v>24.829576261129667</v>
      </c>
      <c r="J34" s="21">
        <f t="shared" si="6"/>
        <v>4.5714940205888004</v>
      </c>
    </row>
    <row r="35" spans="1:10" x14ac:dyDescent="0.35">
      <c r="A35" s="6">
        <v>27</v>
      </c>
      <c r="B35" s="19" t="str">
        <f>'Data Mentah'!B32</f>
        <v>03/07/2023</v>
      </c>
      <c r="C35" s="19">
        <f>'Data Mentah'!Q32</f>
        <v>119</v>
      </c>
      <c r="D35" s="20">
        <f t="shared" si="0"/>
        <v>117.22400059422961</v>
      </c>
      <c r="E35" s="20">
        <f t="shared" si="1"/>
        <v>0.83381703696783016</v>
      </c>
      <c r="F35" s="20">
        <f t="shared" si="2"/>
        <v>110.12000297114803</v>
      </c>
      <c r="G35" s="20">
        <f t="shared" si="3"/>
        <v>8.8799970288519745</v>
      </c>
      <c r="H35" s="20">
        <f t="shared" si="4"/>
        <v>8.8799970288519745</v>
      </c>
      <c r="I35" s="21">
        <f t="shared" si="5"/>
        <v>78.854347232419897</v>
      </c>
      <c r="J35" s="21">
        <f t="shared" si="6"/>
        <v>7.462182377186533</v>
      </c>
    </row>
    <row r="36" spans="1:10" x14ac:dyDescent="0.35">
      <c r="A36" s="6">
        <v>28</v>
      </c>
      <c r="B36" s="19" t="str">
        <f>'Data Mentah'!B33</f>
        <v>10/07/2023</v>
      </c>
      <c r="C36" s="19">
        <f>'Data Mentah'!Q33</f>
        <v>125</v>
      </c>
      <c r="D36" s="20">
        <f t="shared" si="0"/>
        <v>123.61156352623948</v>
      </c>
      <c r="E36" s="20">
        <f t="shared" si="1"/>
        <v>1.3891916264720343</v>
      </c>
      <c r="F36" s="20">
        <f t="shared" si="2"/>
        <v>118.05781763119744</v>
      </c>
      <c r="G36" s="20">
        <f t="shared" si="3"/>
        <v>6.9421823688025626</v>
      </c>
      <c r="H36" s="20">
        <f t="shared" si="4"/>
        <v>6.9421823688025626</v>
      </c>
      <c r="I36" s="21">
        <f t="shared" si="5"/>
        <v>48.19389604171316</v>
      </c>
      <c r="J36" s="21">
        <f t="shared" si="6"/>
        <v>5.5537458950420495</v>
      </c>
    </row>
    <row r="37" spans="1:10" x14ac:dyDescent="0.35">
      <c r="A37" s="6">
        <v>29</v>
      </c>
      <c r="B37" s="19" t="str">
        <f>'Data Mentah'!B34</f>
        <v>17/07/2023</v>
      </c>
      <c r="C37" s="19">
        <f>'Data Mentah'!Q34</f>
        <v>125</v>
      </c>
      <c r="D37" s="20">
        <f t="shared" si="0"/>
        <v>125.0001510305423</v>
      </c>
      <c r="E37" s="20">
        <f t="shared" si="1"/>
        <v>1.3891312142551127</v>
      </c>
      <c r="F37" s="20">
        <f t="shared" si="2"/>
        <v>125.00075515271152</v>
      </c>
      <c r="G37" s="20">
        <f t="shared" si="3"/>
        <v>-7.5515271151971319E-4</v>
      </c>
      <c r="H37" s="20">
        <f t="shared" si="4"/>
        <v>7.5515271151971319E-4</v>
      </c>
      <c r="I37" s="21">
        <f t="shared" si="5"/>
        <v>5.7025561771557514E-7</v>
      </c>
      <c r="J37" s="21">
        <f t="shared" si="6"/>
        <v>6.0412216921577064E-4</v>
      </c>
    </row>
    <row r="38" spans="1:10" x14ac:dyDescent="0.35">
      <c r="A38" s="6">
        <v>30</v>
      </c>
      <c r="B38" s="19" t="str">
        <f>'Data Mentah'!B35</f>
        <v>24/07/2023</v>
      </c>
      <c r="C38" s="19">
        <f>'Data Mentah'!Q35</f>
        <v>121</v>
      </c>
      <c r="D38" s="20">
        <f t="shared" si="0"/>
        <v>122.07785644895949</v>
      </c>
      <c r="E38" s="20">
        <f t="shared" si="1"/>
        <v>0.95798863467132089</v>
      </c>
      <c r="F38" s="20">
        <f t="shared" si="2"/>
        <v>126.38928224479741</v>
      </c>
      <c r="G38" s="20">
        <f t="shared" si="3"/>
        <v>-5.389282244797414</v>
      </c>
      <c r="H38" s="20">
        <f t="shared" si="4"/>
        <v>5.389282244797414</v>
      </c>
      <c r="I38" s="21">
        <f t="shared" si="5"/>
        <v>29.044363114088654</v>
      </c>
      <c r="J38" s="21">
        <f t="shared" si="6"/>
        <v>4.4539522684276145</v>
      </c>
    </row>
    <row r="39" spans="1:10" x14ac:dyDescent="0.35">
      <c r="A39" s="6">
        <v>31</v>
      </c>
      <c r="B39" s="19" t="str">
        <f>'Data Mentah'!B36</f>
        <v>31/07/2023</v>
      </c>
      <c r="C39" s="19">
        <f>'Data Mentah'!Q36</f>
        <v>131</v>
      </c>
      <c r="D39" s="20">
        <f t="shared" si="0"/>
        <v>129.40716901672616</v>
      </c>
      <c r="E39" s="20">
        <f t="shared" si="1"/>
        <v>1.5951210279808552</v>
      </c>
      <c r="F39" s="20">
        <f t="shared" si="2"/>
        <v>123.03584508363082</v>
      </c>
      <c r="G39" s="20">
        <f t="shared" si="3"/>
        <v>7.964154916369182</v>
      </c>
      <c r="H39" s="20">
        <f t="shared" si="4"/>
        <v>7.964154916369182</v>
      </c>
      <c r="I39" s="21">
        <f t="shared" si="5"/>
        <v>63.427763531927411</v>
      </c>
      <c r="J39" s="21">
        <f t="shared" si="6"/>
        <v>6.0795075697474674</v>
      </c>
    </row>
    <row r="40" spans="1:10" x14ac:dyDescent="0.35">
      <c r="A40" s="6">
        <v>32</v>
      </c>
      <c r="B40" s="19" t="str">
        <f>'Data Mentah'!B37</f>
        <v>07/08/2023</v>
      </c>
      <c r="C40" s="19">
        <f>'Data Mentah'!Q37</f>
        <v>122</v>
      </c>
      <c r="D40" s="20">
        <f t="shared" si="0"/>
        <v>123.8004580089414</v>
      </c>
      <c r="E40" s="20">
        <f t="shared" si="1"/>
        <v>0.87493782440429435</v>
      </c>
      <c r="F40" s="20">
        <f t="shared" si="2"/>
        <v>131.00229004470702</v>
      </c>
      <c r="G40" s="20">
        <f t="shared" si="3"/>
        <v>-9.0022900447070242</v>
      </c>
      <c r="H40" s="20">
        <f t="shared" si="4"/>
        <v>9.0022900447070242</v>
      </c>
      <c r="I40" s="21">
        <f t="shared" si="5"/>
        <v>81.041226049031195</v>
      </c>
      <c r="J40" s="21">
        <f t="shared" si="6"/>
        <v>7.3789262661532993</v>
      </c>
    </row>
    <row r="41" spans="1:10" x14ac:dyDescent="0.35">
      <c r="A41" s="6">
        <v>33</v>
      </c>
      <c r="B41" s="19" t="str">
        <f>'Data Mentah'!B38</f>
        <v>14/08/2023</v>
      </c>
      <c r="C41" s="19">
        <f>'Data Mentah'!Q38</f>
        <v>130</v>
      </c>
      <c r="D41" s="20">
        <f t="shared" ref="D41:D72" si="7">$E$4*C41+(1-$E$4)*(D40+E40)</f>
        <v>128.93507916666914</v>
      </c>
      <c r="E41" s="20">
        <f t="shared" ref="E41:E72" si="8">$H$4*(D41-D40)+(1-$H$4)*E40</f>
        <v>1.3009061577366385</v>
      </c>
      <c r="F41" s="20">
        <f t="shared" ref="F41:F72" si="9">D40+E40</f>
        <v>124.6753958333457</v>
      </c>
      <c r="G41" s="20">
        <f t="shared" ref="G41:G72" si="10">C41-F41</f>
        <v>5.3246041666542965</v>
      </c>
      <c r="H41" s="20">
        <f t="shared" ref="H41:H72" si="11">ABS(G41)</f>
        <v>5.3246041666542965</v>
      </c>
      <c r="I41" s="21">
        <f t="shared" ref="I41:I72" si="12">G41^2</f>
        <v>28.351409531552296</v>
      </c>
      <c r="J41" s="21">
        <f t="shared" ref="J41:J72" si="13">ABS(G41/C41)*100</f>
        <v>4.095849358964843</v>
      </c>
    </row>
    <row r="42" spans="1:10" x14ac:dyDescent="0.35">
      <c r="A42" s="6">
        <v>34</v>
      </c>
      <c r="B42" s="19" t="str">
        <f>'Data Mentah'!B39</f>
        <v>21/08/2023</v>
      </c>
      <c r="C42" s="19">
        <f>'Data Mentah'!Q39</f>
        <v>134</v>
      </c>
      <c r="D42" s="20">
        <f t="shared" si="7"/>
        <v>133.24719706488116</v>
      </c>
      <c r="E42" s="20">
        <f t="shared" si="8"/>
        <v>1.6020273317841769</v>
      </c>
      <c r="F42" s="20">
        <f t="shared" si="9"/>
        <v>130.23598532440579</v>
      </c>
      <c r="G42" s="20">
        <f t="shared" si="10"/>
        <v>3.7640146755942112</v>
      </c>
      <c r="H42" s="20">
        <f t="shared" si="11"/>
        <v>3.7640146755942112</v>
      </c>
      <c r="I42" s="21">
        <f t="shared" si="12"/>
        <v>14.167806478088595</v>
      </c>
      <c r="J42" s="21">
        <f t="shared" si="13"/>
        <v>2.8089661758165754</v>
      </c>
    </row>
    <row r="43" spans="1:10" x14ac:dyDescent="0.35">
      <c r="A43" s="6">
        <v>35</v>
      </c>
      <c r="B43" s="19" t="str">
        <f>'Data Mentah'!B40</f>
        <v>28/08/2023</v>
      </c>
      <c r="C43" s="19">
        <f>'Data Mentah'!Q40</f>
        <v>135</v>
      </c>
      <c r="D43" s="20">
        <f t="shared" si="7"/>
        <v>134.96984487933307</v>
      </c>
      <c r="E43" s="20">
        <f t="shared" si="8"/>
        <v>1.6140893800509495</v>
      </c>
      <c r="F43" s="20">
        <f t="shared" si="9"/>
        <v>134.84922439666533</v>
      </c>
      <c r="G43" s="20">
        <f t="shared" si="10"/>
        <v>0.15077560333466522</v>
      </c>
      <c r="H43" s="20">
        <f t="shared" si="11"/>
        <v>0.15077560333466522</v>
      </c>
      <c r="I43" s="21">
        <f t="shared" si="12"/>
        <v>2.2733282560932312E-2</v>
      </c>
      <c r="J43" s="21">
        <f t="shared" si="13"/>
        <v>0.11168563209975201</v>
      </c>
    </row>
    <row r="44" spans="1:10" x14ac:dyDescent="0.35">
      <c r="A44" s="6">
        <v>36</v>
      </c>
      <c r="B44" s="19" t="str">
        <f>'Data Mentah'!B41</f>
        <v>04/09/2023</v>
      </c>
      <c r="C44" s="19">
        <f>'Data Mentah'!Q41</f>
        <v>142</v>
      </c>
      <c r="D44" s="20">
        <f t="shared" si="7"/>
        <v>140.91678685187679</v>
      </c>
      <c r="E44" s="20">
        <f t="shared" si="8"/>
        <v>2.0473746393002275</v>
      </c>
      <c r="F44" s="20">
        <f t="shared" si="9"/>
        <v>136.58393425938402</v>
      </c>
      <c r="G44" s="20">
        <f t="shared" si="10"/>
        <v>5.4160657406159771</v>
      </c>
      <c r="H44" s="20">
        <f t="shared" si="11"/>
        <v>5.4160657406159771</v>
      </c>
      <c r="I44" s="21">
        <f t="shared" si="12"/>
        <v>29.333768106674093</v>
      </c>
      <c r="J44" s="21">
        <f t="shared" si="13"/>
        <v>3.8141308032506878</v>
      </c>
    </row>
    <row r="45" spans="1:10" x14ac:dyDescent="0.35">
      <c r="A45" s="6">
        <v>37</v>
      </c>
      <c r="B45" s="19" t="str">
        <f>'Data Mentah'!B42</f>
        <v>11/09/2023</v>
      </c>
      <c r="C45" s="19">
        <f>'Data Mentah'!Q42</f>
        <v>132</v>
      </c>
      <c r="D45" s="20">
        <f t="shared" si="7"/>
        <v>134.1928322982354</v>
      </c>
      <c r="E45" s="20">
        <f t="shared" si="8"/>
        <v>1.1702417200060655</v>
      </c>
      <c r="F45" s="20">
        <f t="shared" si="9"/>
        <v>142.96416149117701</v>
      </c>
      <c r="G45" s="20">
        <f t="shared" si="10"/>
        <v>-10.964161491177009</v>
      </c>
      <c r="H45" s="20">
        <f t="shared" si="11"/>
        <v>10.964161491177009</v>
      </c>
      <c r="I45" s="21">
        <f t="shared" si="12"/>
        <v>120.21283720460886</v>
      </c>
      <c r="J45" s="21">
        <f t="shared" si="13"/>
        <v>8.3061829478613713</v>
      </c>
    </row>
    <row r="46" spans="1:10" x14ac:dyDescent="0.35">
      <c r="A46" s="6">
        <v>38</v>
      </c>
      <c r="B46" s="19" t="str">
        <f>'Data Mentah'!B43</f>
        <v>18/09/2023</v>
      </c>
      <c r="C46" s="19">
        <f>'Data Mentah'!Q43</f>
        <v>133</v>
      </c>
      <c r="D46" s="20">
        <f t="shared" si="7"/>
        <v>133.4726148036483</v>
      </c>
      <c r="E46" s="20">
        <f t="shared" si="8"/>
        <v>0.98119579854674877</v>
      </c>
      <c r="F46" s="20">
        <f t="shared" si="9"/>
        <v>135.36307401824146</v>
      </c>
      <c r="G46" s="20">
        <f t="shared" si="10"/>
        <v>-2.3630740182414627</v>
      </c>
      <c r="H46" s="20">
        <f t="shared" si="11"/>
        <v>2.3630740182414627</v>
      </c>
      <c r="I46" s="21">
        <f t="shared" si="12"/>
        <v>5.5841188156878525</v>
      </c>
      <c r="J46" s="21">
        <f t="shared" si="13"/>
        <v>1.7767473821364381</v>
      </c>
    </row>
    <row r="47" spans="1:10" x14ac:dyDescent="0.35">
      <c r="A47" s="6">
        <v>39</v>
      </c>
      <c r="B47" s="19" t="str">
        <f>'Data Mentah'!B44</f>
        <v>25/09/2023</v>
      </c>
      <c r="C47" s="19">
        <f>'Data Mentah'!Q44</f>
        <v>127</v>
      </c>
      <c r="D47" s="20">
        <f t="shared" si="7"/>
        <v>128.490762120439</v>
      </c>
      <c r="E47" s="20">
        <f t="shared" si="8"/>
        <v>0.38489095037114412</v>
      </c>
      <c r="F47" s="20">
        <f t="shared" si="9"/>
        <v>134.45381060219503</v>
      </c>
      <c r="G47" s="20">
        <f t="shared" si="10"/>
        <v>-7.4538106021950341</v>
      </c>
      <c r="H47" s="20">
        <f t="shared" si="11"/>
        <v>7.4538106021950341</v>
      </c>
      <c r="I47" s="21">
        <f t="shared" si="12"/>
        <v>55.559292493395098</v>
      </c>
      <c r="J47" s="21">
        <f t="shared" si="13"/>
        <v>5.869142206452783</v>
      </c>
    </row>
    <row r="48" spans="1:10" x14ac:dyDescent="0.35">
      <c r="A48" s="6">
        <v>40</v>
      </c>
      <c r="B48" s="19" t="str">
        <f>'Data Mentah'!B45</f>
        <v>02/10/2023</v>
      </c>
      <c r="C48" s="19">
        <f>'Data Mentah'!Q45</f>
        <v>124</v>
      </c>
      <c r="D48" s="20">
        <f t="shared" si="7"/>
        <v>124.97513061416203</v>
      </c>
      <c r="E48" s="20">
        <f t="shared" si="8"/>
        <v>-5.161295293667767E-3</v>
      </c>
      <c r="F48" s="20">
        <f t="shared" si="9"/>
        <v>128.87565307081016</v>
      </c>
      <c r="G48" s="20">
        <f t="shared" si="10"/>
        <v>-4.8756530708101593</v>
      </c>
      <c r="H48" s="20">
        <f t="shared" si="11"/>
        <v>4.8756530708101593</v>
      </c>
      <c r="I48" s="21">
        <f t="shared" si="12"/>
        <v>23.771992866900536</v>
      </c>
      <c r="J48" s="21">
        <f t="shared" si="13"/>
        <v>3.9319782829114183</v>
      </c>
    </row>
    <row r="49" spans="1:10" x14ac:dyDescent="0.35">
      <c r="A49" s="6">
        <v>41</v>
      </c>
      <c r="B49" s="19" t="str">
        <f>'Data Mentah'!B46</f>
        <v>09/10/2023</v>
      </c>
      <c r="C49" s="19">
        <f>'Data Mentah'!Q46</f>
        <v>128</v>
      </c>
      <c r="D49" s="20">
        <f t="shared" si="7"/>
        <v>127.39399386377367</v>
      </c>
      <c r="E49" s="20">
        <f t="shared" si="8"/>
        <v>0.2372411591968637</v>
      </c>
      <c r="F49" s="20">
        <f t="shared" si="9"/>
        <v>124.96996931886837</v>
      </c>
      <c r="G49" s="20">
        <f t="shared" si="10"/>
        <v>3.0300306811316347</v>
      </c>
      <c r="H49" s="20">
        <f t="shared" si="11"/>
        <v>3.0300306811316347</v>
      </c>
      <c r="I49" s="21">
        <f t="shared" si="12"/>
        <v>9.1810859285990372</v>
      </c>
      <c r="J49" s="21">
        <f t="shared" si="13"/>
        <v>2.3672114696340896</v>
      </c>
    </row>
    <row r="50" spans="1:10" x14ac:dyDescent="0.35">
      <c r="A50" s="6">
        <v>42</v>
      </c>
      <c r="B50" s="19" t="str">
        <f>'Data Mentah'!B47</f>
        <v>16/10/2023</v>
      </c>
      <c r="C50" s="19">
        <f>'Data Mentah'!Q47</f>
        <v>117</v>
      </c>
      <c r="D50" s="20">
        <f t="shared" si="7"/>
        <v>119.12624700459412</v>
      </c>
      <c r="E50" s="20">
        <f t="shared" si="8"/>
        <v>-0.61325764264077798</v>
      </c>
      <c r="F50" s="20">
        <f t="shared" si="9"/>
        <v>127.63123502297054</v>
      </c>
      <c r="G50" s="20">
        <f t="shared" si="10"/>
        <v>-10.631235022970543</v>
      </c>
      <c r="H50" s="20">
        <f t="shared" si="11"/>
        <v>10.631235022970543</v>
      </c>
      <c r="I50" s="21">
        <f t="shared" si="12"/>
        <v>113.02315811363549</v>
      </c>
      <c r="J50" s="21">
        <f t="shared" si="13"/>
        <v>9.0865256606585838</v>
      </c>
    </row>
    <row r="51" spans="1:10" x14ac:dyDescent="0.35">
      <c r="A51" s="6">
        <v>43</v>
      </c>
      <c r="B51" s="19" t="str">
        <f>'Data Mentah'!B48</f>
        <v>23/10/2023</v>
      </c>
      <c r="C51" s="19">
        <f>'Data Mentah'!Q48</f>
        <v>110</v>
      </c>
      <c r="D51" s="20">
        <f t="shared" si="7"/>
        <v>111.70259787239067</v>
      </c>
      <c r="E51" s="20">
        <f t="shared" si="8"/>
        <v>-1.2942967915970454</v>
      </c>
      <c r="F51" s="20">
        <f t="shared" si="9"/>
        <v>118.51298936195334</v>
      </c>
      <c r="G51" s="20">
        <f t="shared" si="10"/>
        <v>-8.5129893619533448</v>
      </c>
      <c r="H51" s="20">
        <f t="shared" si="11"/>
        <v>8.5129893619533448</v>
      </c>
      <c r="I51" s="21">
        <f t="shared" si="12"/>
        <v>72.470987876730817</v>
      </c>
      <c r="J51" s="21">
        <f t="shared" si="13"/>
        <v>7.7390812381394047</v>
      </c>
    </row>
    <row r="52" spans="1:10" x14ac:dyDescent="0.35">
      <c r="A52" s="6">
        <v>44</v>
      </c>
      <c r="B52" s="19" t="str">
        <f>'Data Mentah'!B49</f>
        <v>30/10/2023</v>
      </c>
      <c r="C52" s="19">
        <f>'Data Mentah'!Q49</f>
        <v>116</v>
      </c>
      <c r="D52" s="20">
        <f t="shared" si="7"/>
        <v>114.88166021615874</v>
      </c>
      <c r="E52" s="20">
        <f t="shared" si="8"/>
        <v>-0.84696087806053422</v>
      </c>
      <c r="F52" s="20">
        <f t="shared" si="9"/>
        <v>110.40830108079362</v>
      </c>
      <c r="G52" s="20">
        <f t="shared" si="10"/>
        <v>5.5916989192063795</v>
      </c>
      <c r="H52" s="20">
        <f t="shared" si="11"/>
        <v>5.5916989192063795</v>
      </c>
      <c r="I52" s="21">
        <f t="shared" si="12"/>
        <v>31.267096803053793</v>
      </c>
      <c r="J52" s="21">
        <f t="shared" si="13"/>
        <v>4.8204301027641199</v>
      </c>
    </row>
    <row r="53" spans="1:10" x14ac:dyDescent="0.35">
      <c r="A53" s="6">
        <v>45</v>
      </c>
      <c r="B53" s="19" t="str">
        <f>'Data Mentah'!B50</f>
        <v>06/11/2023</v>
      </c>
      <c r="C53" s="19">
        <f>'Data Mentah'!Q50</f>
        <v>122</v>
      </c>
      <c r="D53" s="20">
        <f t="shared" si="7"/>
        <v>120.40693986761964</v>
      </c>
      <c r="E53" s="20">
        <f t="shared" si="8"/>
        <v>-0.2097368251083902</v>
      </c>
      <c r="F53" s="20">
        <f t="shared" si="9"/>
        <v>114.03469933809821</v>
      </c>
      <c r="G53" s="20">
        <f t="shared" si="10"/>
        <v>7.965300661901793</v>
      </c>
      <c r="H53" s="20">
        <f t="shared" si="11"/>
        <v>7.965300661901793</v>
      </c>
      <c r="I53" s="21">
        <f t="shared" si="12"/>
        <v>63.446014634493139</v>
      </c>
      <c r="J53" s="21">
        <f t="shared" si="13"/>
        <v>6.5289349687719618</v>
      </c>
    </row>
    <row r="54" spans="1:10" x14ac:dyDescent="0.35">
      <c r="A54" s="6">
        <v>46</v>
      </c>
      <c r="B54" s="19" t="str">
        <f>'Data Mentah'!B51</f>
        <v>13/11/2023</v>
      </c>
      <c r="C54" s="19">
        <f>'Data Mentah'!Q51</f>
        <v>135</v>
      </c>
      <c r="D54" s="20">
        <f t="shared" si="7"/>
        <v>132.03944060850225</v>
      </c>
      <c r="E54" s="20">
        <f t="shared" si="8"/>
        <v>0.97448693149070931</v>
      </c>
      <c r="F54" s="20">
        <f t="shared" si="9"/>
        <v>120.19720304251125</v>
      </c>
      <c r="G54" s="20">
        <f t="shared" si="10"/>
        <v>14.802796957488752</v>
      </c>
      <c r="H54" s="20">
        <f t="shared" si="11"/>
        <v>14.802796957488752</v>
      </c>
      <c r="I54" s="21">
        <f t="shared" si="12"/>
        <v>219.12279776463825</v>
      </c>
      <c r="J54" s="21">
        <f t="shared" si="13"/>
        <v>10.965034783325002</v>
      </c>
    </row>
    <row r="55" spans="1:10" x14ac:dyDescent="0.35">
      <c r="A55" s="6">
        <v>47</v>
      </c>
      <c r="B55" s="19" t="str">
        <f>'Data Mentah'!B52</f>
        <v>20/11/2023</v>
      </c>
      <c r="C55" s="19">
        <f>'Data Mentah'!Q52</f>
        <v>138</v>
      </c>
      <c r="D55" s="20">
        <f t="shared" si="7"/>
        <v>137.0027855079986</v>
      </c>
      <c r="E55" s="20">
        <f t="shared" si="8"/>
        <v>1.3733727282912733</v>
      </c>
      <c r="F55" s="20">
        <f t="shared" si="9"/>
        <v>133.01392753999295</v>
      </c>
      <c r="G55" s="20">
        <f t="shared" si="10"/>
        <v>4.9860724600070512</v>
      </c>
      <c r="H55" s="20">
        <f t="shared" si="11"/>
        <v>4.9860724600070512</v>
      </c>
      <c r="I55" s="21">
        <f t="shared" si="12"/>
        <v>24.860918576440767</v>
      </c>
      <c r="J55" s="21">
        <f t="shared" si="13"/>
        <v>3.6130959855123561</v>
      </c>
    </row>
    <row r="56" spans="1:10" x14ac:dyDescent="0.35">
      <c r="A56" s="6">
        <v>48</v>
      </c>
      <c r="B56" s="19" t="str">
        <f>'Data Mentah'!B53</f>
        <v>27/11/2023</v>
      </c>
      <c r="C56" s="19">
        <f>'Data Mentah'!Q53</f>
        <v>139</v>
      </c>
      <c r="D56" s="20">
        <f t="shared" si="7"/>
        <v>138.87523164725798</v>
      </c>
      <c r="E56" s="20">
        <f t="shared" si="8"/>
        <v>1.423280069388084</v>
      </c>
      <c r="F56" s="20">
        <f t="shared" si="9"/>
        <v>138.37615823628988</v>
      </c>
      <c r="G56" s="20">
        <f t="shared" si="10"/>
        <v>0.6238417637101179</v>
      </c>
      <c r="H56" s="20">
        <f t="shared" si="11"/>
        <v>0.6238417637101179</v>
      </c>
      <c r="I56" s="21">
        <f t="shared" si="12"/>
        <v>0.38917854614895059</v>
      </c>
      <c r="J56" s="21">
        <f t="shared" si="13"/>
        <v>0.4488070242518834</v>
      </c>
    </row>
    <row r="57" spans="1:10" x14ac:dyDescent="0.35">
      <c r="A57" s="6">
        <v>49</v>
      </c>
      <c r="B57" s="19" t="str">
        <f>'Data Mentah'!B54</f>
        <v>04/12/2023</v>
      </c>
      <c r="C57" s="19">
        <f>'Data Mentah'!Q54</f>
        <v>138</v>
      </c>
      <c r="D57" s="20">
        <f t="shared" si="7"/>
        <v>138.45970234332921</v>
      </c>
      <c r="E57" s="20">
        <f t="shared" si="8"/>
        <v>1.2393991320563993</v>
      </c>
      <c r="F57" s="20">
        <f t="shared" si="9"/>
        <v>140.29851171664606</v>
      </c>
      <c r="G57" s="20">
        <f t="shared" si="10"/>
        <v>-2.2985117166460611</v>
      </c>
      <c r="H57" s="20">
        <f t="shared" si="11"/>
        <v>2.2985117166460611</v>
      </c>
      <c r="I57" s="21">
        <f t="shared" si="12"/>
        <v>5.2831561115592232</v>
      </c>
      <c r="J57" s="21">
        <f t="shared" si="13"/>
        <v>1.6655882004681604</v>
      </c>
    </row>
    <row r="58" spans="1:10" x14ac:dyDescent="0.35">
      <c r="A58" s="6">
        <v>50</v>
      </c>
      <c r="B58" s="19" t="str">
        <f>'Data Mentah'!B55</f>
        <v>11/12/2023</v>
      </c>
      <c r="C58" s="19">
        <f>'Data Mentah'!Q55</f>
        <v>128</v>
      </c>
      <c r="D58" s="20">
        <f t="shared" si="7"/>
        <v>130.33982029507712</v>
      </c>
      <c r="E58" s="20">
        <f t="shared" si="8"/>
        <v>0.30347101402554999</v>
      </c>
      <c r="F58" s="20">
        <f t="shared" si="9"/>
        <v>139.69910147538562</v>
      </c>
      <c r="G58" s="20">
        <f t="shared" si="10"/>
        <v>-11.699101475385618</v>
      </c>
      <c r="H58" s="20">
        <f t="shared" si="11"/>
        <v>11.699101475385618</v>
      </c>
      <c r="I58" s="21">
        <f t="shared" si="12"/>
        <v>136.86897533136994</v>
      </c>
      <c r="J58" s="21">
        <f t="shared" si="13"/>
        <v>9.1399230276450147</v>
      </c>
    </row>
    <row r="59" spans="1:10" x14ac:dyDescent="0.35">
      <c r="A59" s="6">
        <v>51</v>
      </c>
      <c r="B59" s="19" t="str">
        <f>'Data Mentah'!B56</f>
        <v>18/12/2023</v>
      </c>
      <c r="C59" s="19">
        <f>'Data Mentah'!Q56</f>
        <v>128</v>
      </c>
      <c r="D59" s="20">
        <f t="shared" si="7"/>
        <v>128.52865826182054</v>
      </c>
      <c r="E59" s="20">
        <f t="shared" si="8"/>
        <v>9.2007709297337092E-2</v>
      </c>
      <c r="F59" s="20">
        <f t="shared" si="9"/>
        <v>130.64329130910266</v>
      </c>
      <c r="G59" s="20">
        <f t="shared" si="10"/>
        <v>-2.6432913091026649</v>
      </c>
      <c r="H59" s="20">
        <f t="shared" si="11"/>
        <v>2.6432913091026649</v>
      </c>
      <c r="I59" s="21">
        <f t="shared" si="12"/>
        <v>6.9869889447776794</v>
      </c>
      <c r="J59" s="21">
        <f t="shared" si="13"/>
        <v>2.0650713352364569</v>
      </c>
    </row>
    <row r="60" spans="1:10" x14ac:dyDescent="0.35">
      <c r="A60" s="6">
        <v>52</v>
      </c>
      <c r="B60" s="19" t="str">
        <f>'Data Mentah'!B57</f>
        <v>25/12/2023</v>
      </c>
      <c r="C60" s="19">
        <f>'Data Mentah'!Q57</f>
        <v>115</v>
      </c>
      <c r="D60" s="20">
        <f t="shared" si="7"/>
        <v>117.72413319422357</v>
      </c>
      <c r="E60" s="20">
        <f t="shared" si="8"/>
        <v>-0.99764556839209373</v>
      </c>
      <c r="F60" s="20">
        <f t="shared" si="9"/>
        <v>128.62066597111789</v>
      </c>
      <c r="G60" s="20">
        <f t="shared" si="10"/>
        <v>-13.620665971117887</v>
      </c>
      <c r="H60" s="20">
        <f t="shared" si="11"/>
        <v>13.620665971117887</v>
      </c>
      <c r="I60" s="21">
        <f t="shared" si="12"/>
        <v>185.52254149676878</v>
      </c>
      <c r="J60" s="21">
        <f t="shared" si="13"/>
        <v>11.844057366189467</v>
      </c>
    </row>
    <row r="61" spans="1:10" x14ac:dyDescent="0.35">
      <c r="A61" s="6">
        <v>53</v>
      </c>
      <c r="B61" s="19" t="str">
        <f>'Data Mentah'!B58</f>
        <v>01/01/2024</v>
      </c>
      <c r="C61" s="19">
        <f>'Data Mentah'!Q58</f>
        <v>118</v>
      </c>
      <c r="D61" s="20">
        <f t="shared" si="7"/>
        <v>117.74529752516629</v>
      </c>
      <c r="E61" s="20">
        <f t="shared" si="8"/>
        <v>-0.8957645784586119</v>
      </c>
      <c r="F61" s="20">
        <f t="shared" si="9"/>
        <v>116.72648762583148</v>
      </c>
      <c r="G61" s="20">
        <f t="shared" si="10"/>
        <v>1.2735123741685186</v>
      </c>
      <c r="H61" s="20">
        <f t="shared" si="11"/>
        <v>1.2735123741685186</v>
      </c>
      <c r="I61" s="21">
        <f t="shared" si="12"/>
        <v>1.6218337671603369</v>
      </c>
      <c r="J61" s="21">
        <f t="shared" si="13"/>
        <v>1.0792477747190836</v>
      </c>
    </row>
    <row r="62" spans="1:10" x14ac:dyDescent="0.35">
      <c r="A62" s="6">
        <v>54</v>
      </c>
      <c r="B62" s="19" t="str">
        <f>'Data Mentah'!B59</f>
        <v>08/01/2024</v>
      </c>
      <c r="C62" s="19">
        <f>'Data Mentah'!Q59</f>
        <v>113</v>
      </c>
      <c r="D62" s="20">
        <f t="shared" si="7"/>
        <v>113.76990658934153</v>
      </c>
      <c r="E62" s="20">
        <f t="shared" si="8"/>
        <v>-1.2037272141952271</v>
      </c>
      <c r="F62" s="20">
        <f t="shared" si="9"/>
        <v>116.84953294670768</v>
      </c>
      <c r="G62" s="20">
        <f t="shared" si="10"/>
        <v>-3.8495329467076829</v>
      </c>
      <c r="H62" s="20">
        <f t="shared" si="11"/>
        <v>3.8495329467076829</v>
      </c>
      <c r="I62" s="21">
        <f t="shared" si="12"/>
        <v>14.818903907787936</v>
      </c>
      <c r="J62" s="21">
        <f t="shared" si="13"/>
        <v>3.406666324520073</v>
      </c>
    </row>
    <row r="63" spans="1:10" x14ac:dyDescent="0.35">
      <c r="A63" s="6">
        <v>55</v>
      </c>
      <c r="B63" s="19" t="str">
        <f>'Data Mentah'!B60</f>
        <v>15/01/2024</v>
      </c>
      <c r="C63" s="19">
        <f>'Data Mentah'!Q60</f>
        <v>118</v>
      </c>
      <c r="D63" s="20">
        <f t="shared" si="7"/>
        <v>116.91323587502926</v>
      </c>
      <c r="E63" s="20">
        <f t="shared" si="8"/>
        <v>-0.76902156420693157</v>
      </c>
      <c r="F63" s="20">
        <f t="shared" si="9"/>
        <v>112.56617937514631</v>
      </c>
      <c r="G63" s="20">
        <f t="shared" si="10"/>
        <v>5.4338206248536949</v>
      </c>
      <c r="H63" s="20">
        <f t="shared" si="11"/>
        <v>5.4338206248536949</v>
      </c>
      <c r="I63" s="21">
        <f t="shared" si="12"/>
        <v>29.5264065830854</v>
      </c>
      <c r="J63" s="21">
        <f t="shared" si="13"/>
        <v>4.6049327329268603</v>
      </c>
    </row>
    <row r="64" spans="1:10" x14ac:dyDescent="0.35">
      <c r="A64" s="6">
        <v>56</v>
      </c>
      <c r="B64" s="19" t="str">
        <f>'Data Mentah'!B61</f>
        <v>22/01/2024</v>
      </c>
      <c r="C64" s="19">
        <f>'Data Mentah'!Q61</f>
        <v>122</v>
      </c>
      <c r="D64" s="20">
        <f t="shared" si="7"/>
        <v>120.82884286216446</v>
      </c>
      <c r="E64" s="20">
        <f t="shared" si="8"/>
        <v>-0.30055870907271787</v>
      </c>
      <c r="F64" s="20">
        <f t="shared" si="9"/>
        <v>116.14421431082232</v>
      </c>
      <c r="G64" s="20">
        <f t="shared" si="10"/>
        <v>5.8557856891776794</v>
      </c>
      <c r="H64" s="20">
        <f t="shared" si="11"/>
        <v>5.8557856891776794</v>
      </c>
      <c r="I64" s="21">
        <f t="shared" si="12"/>
        <v>34.290226037578108</v>
      </c>
      <c r="J64" s="21">
        <f t="shared" si="13"/>
        <v>4.7998243353915404</v>
      </c>
    </row>
    <row r="65" spans="1:10" x14ac:dyDescent="0.35">
      <c r="A65" s="6">
        <v>57</v>
      </c>
      <c r="B65" s="19" t="str">
        <f>'Data Mentah'!B62</f>
        <v>29/01/2024</v>
      </c>
      <c r="C65" s="19">
        <f>'Data Mentah'!Q62</f>
        <v>115</v>
      </c>
      <c r="D65" s="20">
        <f t="shared" si="7"/>
        <v>116.10565683061834</v>
      </c>
      <c r="E65" s="20">
        <f t="shared" si="8"/>
        <v>-0.74282144132005812</v>
      </c>
      <c r="F65" s="20">
        <f t="shared" si="9"/>
        <v>120.52828415309175</v>
      </c>
      <c r="G65" s="20">
        <f t="shared" si="10"/>
        <v>-5.5282841530917466</v>
      </c>
      <c r="H65" s="20">
        <f t="shared" si="11"/>
        <v>5.5282841530917466</v>
      </c>
      <c r="I65" s="21">
        <f t="shared" si="12"/>
        <v>30.56192567732533</v>
      </c>
      <c r="J65" s="21">
        <f t="shared" si="13"/>
        <v>4.8072036113841277</v>
      </c>
    </row>
    <row r="66" spans="1:10" x14ac:dyDescent="0.35">
      <c r="A66" s="6">
        <v>58</v>
      </c>
      <c r="B66" s="19" t="str">
        <f>'Data Mentah'!B63</f>
        <v>05/02/2024</v>
      </c>
      <c r="C66" s="19">
        <f>'Data Mentah'!Q63</f>
        <v>131</v>
      </c>
      <c r="D66" s="20">
        <f t="shared" si="7"/>
        <v>127.87256707785966</v>
      </c>
      <c r="E66" s="20">
        <f t="shared" si="8"/>
        <v>0.50815172753607907</v>
      </c>
      <c r="F66" s="20">
        <f t="shared" si="9"/>
        <v>115.36283538929828</v>
      </c>
      <c r="G66" s="20">
        <f t="shared" si="10"/>
        <v>15.637164610701717</v>
      </c>
      <c r="H66" s="20">
        <f t="shared" si="11"/>
        <v>15.637164610701717</v>
      </c>
      <c r="I66" s="21">
        <f t="shared" si="12"/>
        <v>244.52091706218218</v>
      </c>
      <c r="J66" s="21">
        <f t="shared" si="13"/>
        <v>11.936766878398258</v>
      </c>
    </row>
    <row r="67" spans="1:10" x14ac:dyDescent="0.35">
      <c r="A67" s="6">
        <v>59</v>
      </c>
      <c r="B67" s="19" t="str">
        <f>'Data Mentah'!B64</f>
        <v>12/02/2024</v>
      </c>
      <c r="C67" s="19">
        <f>'Data Mentah'!Q64</f>
        <v>126</v>
      </c>
      <c r="D67" s="20">
        <f t="shared" si="7"/>
        <v>126.47614376107916</v>
      </c>
      <c r="E67" s="20">
        <f t="shared" si="8"/>
        <v>0.31769422310442119</v>
      </c>
      <c r="F67" s="20">
        <f t="shared" si="9"/>
        <v>128.38071880539573</v>
      </c>
      <c r="G67" s="20">
        <f t="shared" si="10"/>
        <v>-2.3807188053957304</v>
      </c>
      <c r="H67" s="20">
        <f t="shared" si="11"/>
        <v>2.3807188053957304</v>
      </c>
      <c r="I67" s="21">
        <f t="shared" si="12"/>
        <v>5.6678220303648734</v>
      </c>
      <c r="J67" s="21">
        <f t="shared" si="13"/>
        <v>1.8894593693616908</v>
      </c>
    </row>
    <row r="68" spans="1:10" x14ac:dyDescent="0.35">
      <c r="A68" s="6">
        <v>60</v>
      </c>
      <c r="B68" s="19" t="str">
        <f>'Data Mentah'!B65</f>
        <v>19/02/2024</v>
      </c>
      <c r="C68" s="19">
        <f>'Data Mentah'!Q65</f>
        <v>134</v>
      </c>
      <c r="D68" s="20">
        <f t="shared" si="7"/>
        <v>132.5587675968367</v>
      </c>
      <c r="E68" s="20">
        <f t="shared" si="8"/>
        <v>0.89418718436973366</v>
      </c>
      <c r="F68" s="20">
        <f t="shared" si="9"/>
        <v>126.79383798418358</v>
      </c>
      <c r="G68" s="20">
        <f t="shared" si="10"/>
        <v>7.2061620158164175</v>
      </c>
      <c r="H68" s="20">
        <f t="shared" si="11"/>
        <v>7.2061620158164175</v>
      </c>
      <c r="I68" s="21">
        <f t="shared" si="12"/>
        <v>51.928770998195333</v>
      </c>
      <c r="J68" s="21">
        <f t="shared" si="13"/>
        <v>5.3777328476241921</v>
      </c>
    </row>
    <row r="69" spans="1:10" x14ac:dyDescent="0.35">
      <c r="A69" s="6">
        <v>61</v>
      </c>
      <c r="B69" s="19" t="str">
        <f>'Data Mentah'!B66</f>
        <v>26/02/2024</v>
      </c>
      <c r="C69" s="19">
        <f>'Data Mentah'!Q66</f>
        <v>137</v>
      </c>
      <c r="D69" s="20">
        <f t="shared" si="7"/>
        <v>136.29059095624129</v>
      </c>
      <c r="E69" s="20">
        <f t="shared" si="8"/>
        <v>1.177950801873219</v>
      </c>
      <c r="F69" s="20">
        <f t="shared" si="9"/>
        <v>133.45295478120644</v>
      </c>
      <c r="G69" s="20">
        <f t="shared" si="10"/>
        <v>3.5470452187935564</v>
      </c>
      <c r="H69" s="20">
        <f t="shared" si="11"/>
        <v>3.5470452187935564</v>
      </c>
      <c r="I69" s="21">
        <f t="shared" si="12"/>
        <v>12.581529784166229</v>
      </c>
      <c r="J69" s="21">
        <f t="shared" si="13"/>
        <v>2.5890841013091652</v>
      </c>
    </row>
    <row r="70" spans="1:10" x14ac:dyDescent="0.35">
      <c r="A70" s="6">
        <v>62</v>
      </c>
      <c r="B70" s="19" t="str">
        <f>'Data Mentah'!B67</f>
        <v>04/03/2024</v>
      </c>
      <c r="C70" s="19">
        <f>'Data Mentah'!Q67</f>
        <v>133</v>
      </c>
      <c r="D70" s="20">
        <f t="shared" si="7"/>
        <v>133.89370835162291</v>
      </c>
      <c r="E70" s="20">
        <f t="shared" si="8"/>
        <v>0.82046746122405889</v>
      </c>
      <c r="F70" s="20">
        <f t="shared" si="9"/>
        <v>137.4685417581145</v>
      </c>
      <c r="G70" s="20">
        <f t="shared" si="10"/>
        <v>-4.4685417581144975</v>
      </c>
      <c r="H70" s="20">
        <f t="shared" si="11"/>
        <v>4.4685417581144975</v>
      </c>
      <c r="I70" s="21">
        <f t="shared" si="12"/>
        <v>19.967865444013004</v>
      </c>
      <c r="J70" s="21">
        <f t="shared" si="13"/>
        <v>3.359805833168795</v>
      </c>
    </row>
    <row r="71" spans="1:10" x14ac:dyDescent="0.35">
      <c r="A71" s="6">
        <v>63</v>
      </c>
      <c r="B71" s="19" t="str">
        <f>'Data Mentah'!B68</f>
        <v>11/03/2024</v>
      </c>
      <c r="C71" s="19">
        <f>'Data Mentah'!Q68</f>
        <v>128</v>
      </c>
      <c r="D71" s="20">
        <f t="shared" si="7"/>
        <v>129.3428351625694</v>
      </c>
      <c r="E71" s="20">
        <f t="shared" si="8"/>
        <v>0.28333339619630249</v>
      </c>
      <c r="F71" s="20">
        <f t="shared" si="9"/>
        <v>134.71417581284697</v>
      </c>
      <c r="G71" s="20">
        <f t="shared" si="10"/>
        <v>-6.7141758128469746</v>
      </c>
      <c r="H71" s="20">
        <f t="shared" si="11"/>
        <v>6.7141758128469746</v>
      </c>
      <c r="I71" s="21">
        <f t="shared" si="12"/>
        <v>45.080156845819332</v>
      </c>
      <c r="J71" s="21">
        <f t="shared" si="13"/>
        <v>5.2454498537866989</v>
      </c>
    </row>
    <row r="72" spans="1:10" x14ac:dyDescent="0.35">
      <c r="A72" s="6">
        <v>64</v>
      </c>
      <c r="B72" s="19" t="str">
        <f>'Data Mentah'!B69</f>
        <v>18/03/2024</v>
      </c>
      <c r="C72" s="19">
        <f>'Data Mentah'!Q69</f>
        <v>126</v>
      </c>
      <c r="D72" s="20">
        <f t="shared" si="7"/>
        <v>126.72523371175315</v>
      </c>
      <c r="E72" s="20">
        <f t="shared" si="8"/>
        <v>-6.7600885049530213E-3</v>
      </c>
      <c r="F72" s="20">
        <f t="shared" si="9"/>
        <v>129.6261685587657</v>
      </c>
      <c r="G72" s="20">
        <f t="shared" si="10"/>
        <v>-3.6261685587656984</v>
      </c>
      <c r="H72" s="20">
        <f t="shared" si="11"/>
        <v>3.6261685587656984</v>
      </c>
      <c r="I72" s="21">
        <f t="shared" si="12"/>
        <v>13.149098416580902</v>
      </c>
      <c r="J72" s="21">
        <f t="shared" si="13"/>
        <v>2.877911554575951</v>
      </c>
    </row>
    <row r="73" spans="1:10" x14ac:dyDescent="0.35">
      <c r="A73" s="6">
        <v>65</v>
      </c>
      <c r="B73" s="19" t="str">
        <f>'Data Mentah'!B70</f>
        <v>25/03/2024</v>
      </c>
      <c r="C73" s="19">
        <f>'Data Mentah'!Q70</f>
        <v>126</v>
      </c>
      <c r="D73" s="20">
        <f t="shared" ref="D73:D104" si="14">$E$4*C73+(1-$E$4)*(D72+E72)</f>
        <v>126.14369472464965</v>
      </c>
      <c r="E73" s="20">
        <f t="shared" ref="E73:E104" si="15">$H$4*(D73-D72)+(1-$H$4)*E72</f>
        <v>-6.4237978364807671E-2</v>
      </c>
      <c r="F73" s="20">
        <f t="shared" ref="F73:F104" si="16">D72+E72</f>
        <v>126.7184736232482</v>
      </c>
      <c r="G73" s="20">
        <f t="shared" ref="G73:G104" si="17">C73-F73</f>
        <v>-0.71847362324820097</v>
      </c>
      <c r="H73" s="20">
        <f t="shared" ref="H73:H104" si="18">ABS(G73)</f>
        <v>0.71847362324820097</v>
      </c>
      <c r="I73" s="21">
        <f t="shared" ref="I73:I104" si="19">G73^2</f>
        <v>0.51620434730339781</v>
      </c>
      <c r="J73" s="21">
        <f t="shared" ref="J73:J104" si="20">ABS(G73/C73)*100</f>
        <v>0.57021716130809597</v>
      </c>
    </row>
    <row r="74" spans="1:10" x14ac:dyDescent="0.35">
      <c r="A74" s="6">
        <v>66</v>
      </c>
      <c r="B74" s="19" t="str">
        <f>'Data Mentah'!B71</f>
        <v>01/04/2024</v>
      </c>
      <c r="C74" s="19">
        <f>'Data Mentah'!Q71</f>
        <v>125</v>
      </c>
      <c r="D74" s="20">
        <f t="shared" si="14"/>
        <v>125.21589134925696</v>
      </c>
      <c r="E74" s="20">
        <f t="shared" si="15"/>
        <v>-0.15059451806759538</v>
      </c>
      <c r="F74" s="20">
        <f t="shared" si="16"/>
        <v>126.07945674628485</v>
      </c>
      <c r="G74" s="20">
        <f t="shared" si="17"/>
        <v>-1.0794567462848477</v>
      </c>
      <c r="H74" s="20">
        <f t="shared" si="18"/>
        <v>1.0794567462848477</v>
      </c>
      <c r="I74" s="21">
        <f t="shared" si="19"/>
        <v>1.16522686709987</v>
      </c>
      <c r="J74" s="21">
        <f t="shared" si="20"/>
        <v>0.86356539702787805</v>
      </c>
    </row>
    <row r="75" spans="1:10" x14ac:dyDescent="0.35">
      <c r="A75" s="6">
        <v>67</v>
      </c>
      <c r="B75" s="19" t="str">
        <f>'Data Mentah'!B72</f>
        <v>08/04/2024</v>
      </c>
      <c r="C75" s="19">
        <f>'Data Mentah'!Q72</f>
        <v>122</v>
      </c>
      <c r="D75" s="20">
        <f t="shared" si="14"/>
        <v>122.61305936623788</v>
      </c>
      <c r="E75" s="20">
        <f t="shared" si="15"/>
        <v>-0.39581826456274449</v>
      </c>
      <c r="F75" s="20">
        <f t="shared" si="16"/>
        <v>125.06529683118937</v>
      </c>
      <c r="G75" s="20">
        <f t="shared" si="17"/>
        <v>-3.0652968311893716</v>
      </c>
      <c r="H75" s="20">
        <f t="shared" si="18"/>
        <v>3.0652968311893716</v>
      </c>
      <c r="I75" s="21">
        <f t="shared" si="19"/>
        <v>9.3960446632996035</v>
      </c>
      <c r="J75" s="21">
        <f t="shared" si="20"/>
        <v>2.5125383862207964</v>
      </c>
    </row>
    <row r="76" spans="1:10" x14ac:dyDescent="0.35">
      <c r="A76" s="6">
        <v>68</v>
      </c>
      <c r="B76" s="19" t="str">
        <f>'Data Mentah'!B73</f>
        <v>15/04/2024</v>
      </c>
      <c r="C76" s="19">
        <f>'Data Mentah'!Q73</f>
        <v>117</v>
      </c>
      <c r="D76" s="20">
        <f t="shared" si="14"/>
        <v>118.04344822033502</v>
      </c>
      <c r="E76" s="20">
        <f t="shared" si="15"/>
        <v>-0.81319755269675542</v>
      </c>
      <c r="F76" s="20">
        <f t="shared" si="16"/>
        <v>122.21724110167513</v>
      </c>
      <c r="G76" s="20">
        <f t="shared" si="17"/>
        <v>-5.2172411016751283</v>
      </c>
      <c r="H76" s="20">
        <f t="shared" si="18"/>
        <v>5.2172411016751283</v>
      </c>
      <c r="I76" s="21">
        <f t="shared" si="19"/>
        <v>27.219604713008305</v>
      </c>
      <c r="J76" s="21">
        <f t="shared" si="20"/>
        <v>4.4591804287821617</v>
      </c>
    </row>
    <row r="77" spans="1:10" x14ac:dyDescent="0.35">
      <c r="A77" s="6">
        <v>69</v>
      </c>
      <c r="B77" s="19" t="str">
        <f>'Data Mentah'!B74</f>
        <v>22/04/2024</v>
      </c>
      <c r="C77" s="19">
        <f>'Data Mentah'!Q74</f>
        <v>120</v>
      </c>
      <c r="D77" s="20">
        <f t="shared" si="14"/>
        <v>119.44605013352765</v>
      </c>
      <c r="E77" s="20">
        <f t="shared" si="15"/>
        <v>-0.59161760610781733</v>
      </c>
      <c r="F77" s="20">
        <f t="shared" si="16"/>
        <v>117.23025066763827</v>
      </c>
      <c r="G77" s="20">
        <f t="shared" si="17"/>
        <v>2.7697493323617266</v>
      </c>
      <c r="H77" s="20">
        <f t="shared" si="18"/>
        <v>2.7697493323617266</v>
      </c>
      <c r="I77" s="21">
        <f t="shared" si="19"/>
        <v>7.6715113641182304</v>
      </c>
      <c r="J77" s="21">
        <f t="shared" si="20"/>
        <v>2.3081244436347723</v>
      </c>
    </row>
    <row r="78" spans="1:10" x14ac:dyDescent="0.35">
      <c r="A78" s="6">
        <v>70</v>
      </c>
      <c r="B78" s="19" t="str">
        <f>'Data Mentah'!B75</f>
        <v>29/04/2024</v>
      </c>
      <c r="C78" s="19">
        <f>'Data Mentah'!Q75</f>
        <v>110</v>
      </c>
      <c r="D78" s="20">
        <f t="shared" si="14"/>
        <v>111.77088650548396</v>
      </c>
      <c r="E78" s="20">
        <f t="shared" si="15"/>
        <v>-1.2999722083014049</v>
      </c>
      <c r="F78" s="20">
        <f t="shared" si="16"/>
        <v>118.85443252741983</v>
      </c>
      <c r="G78" s="20">
        <f t="shared" si="17"/>
        <v>-8.8544325274198314</v>
      </c>
      <c r="H78" s="20">
        <f t="shared" si="18"/>
        <v>8.8544325274198314</v>
      </c>
      <c r="I78" s="21">
        <f t="shared" si="19"/>
        <v>78.400975382630349</v>
      </c>
      <c r="J78" s="21">
        <f t="shared" si="20"/>
        <v>8.0494841158362096</v>
      </c>
    </row>
    <row r="79" spans="1:10" x14ac:dyDescent="0.35">
      <c r="A79" s="6">
        <v>71</v>
      </c>
      <c r="B79" s="19" t="str">
        <f>'Data Mentah'!B76</f>
        <v>06/05/2024</v>
      </c>
      <c r="C79" s="19">
        <f>'Data Mentah'!Q76</f>
        <v>120</v>
      </c>
      <c r="D79" s="20">
        <f t="shared" si="14"/>
        <v>118.0941828594365</v>
      </c>
      <c r="E79" s="20">
        <f t="shared" si="15"/>
        <v>-0.53764535207601005</v>
      </c>
      <c r="F79" s="20">
        <f t="shared" si="16"/>
        <v>110.47091429718256</v>
      </c>
      <c r="G79" s="20">
        <f t="shared" si="17"/>
        <v>9.5290857028174401</v>
      </c>
      <c r="H79" s="20">
        <f t="shared" si="18"/>
        <v>9.5290857028174401</v>
      </c>
      <c r="I79" s="21">
        <f t="shared" si="19"/>
        <v>90.803474331639748</v>
      </c>
      <c r="J79" s="21">
        <f t="shared" si="20"/>
        <v>7.9409047523478673</v>
      </c>
    </row>
    <row r="80" spans="1:10" x14ac:dyDescent="0.35">
      <c r="A80" s="6">
        <v>72</v>
      </c>
      <c r="B80" s="19" t="str">
        <f>'Data Mentah'!B77</f>
        <v>13/05/2024</v>
      </c>
      <c r="C80" s="19">
        <f>'Data Mentah'!Q77</f>
        <v>122</v>
      </c>
      <c r="D80" s="20">
        <f t="shared" si="14"/>
        <v>121.1113075014721</v>
      </c>
      <c r="E80" s="20">
        <f t="shared" si="15"/>
        <v>-0.18216835266484932</v>
      </c>
      <c r="F80" s="20">
        <f t="shared" si="16"/>
        <v>117.55653750736049</v>
      </c>
      <c r="G80" s="20">
        <f t="shared" si="17"/>
        <v>4.4434624926395117</v>
      </c>
      <c r="H80" s="20">
        <f t="shared" si="18"/>
        <v>4.4434624926395117</v>
      </c>
      <c r="I80" s="21">
        <f t="shared" si="19"/>
        <v>19.744358923494143</v>
      </c>
      <c r="J80" s="21">
        <f t="shared" si="20"/>
        <v>3.6421823710159931</v>
      </c>
    </row>
    <row r="81" spans="1:10" x14ac:dyDescent="0.35">
      <c r="A81" s="6">
        <v>73</v>
      </c>
      <c r="B81" s="19" t="str">
        <f>'Data Mentah'!B78</f>
        <v>20/05/2024</v>
      </c>
      <c r="C81" s="19">
        <f>'Data Mentah'!Q78</f>
        <v>119</v>
      </c>
      <c r="D81" s="20">
        <f t="shared" si="14"/>
        <v>119.38582782976144</v>
      </c>
      <c r="E81" s="20">
        <f t="shared" si="15"/>
        <v>-0.33649948456943024</v>
      </c>
      <c r="F81" s="20">
        <f t="shared" si="16"/>
        <v>120.92913914880725</v>
      </c>
      <c r="G81" s="20">
        <f t="shared" si="17"/>
        <v>-1.929139148807252</v>
      </c>
      <c r="H81" s="20">
        <f t="shared" si="18"/>
        <v>1.929139148807252</v>
      </c>
      <c r="I81" s="21">
        <f t="shared" si="19"/>
        <v>3.7215778554607688</v>
      </c>
      <c r="J81" s="21">
        <f t="shared" si="20"/>
        <v>1.6211253351321446</v>
      </c>
    </row>
    <row r="82" spans="1:10" x14ac:dyDescent="0.35">
      <c r="A82" s="6">
        <v>74</v>
      </c>
      <c r="B82" s="19" t="str">
        <f>'Data Mentah'!B79</f>
        <v>27/05/2024</v>
      </c>
      <c r="C82" s="19">
        <f>'Data Mentah'!Q79</f>
        <v>127</v>
      </c>
      <c r="D82" s="20">
        <f t="shared" si="14"/>
        <v>125.40986566903841</v>
      </c>
      <c r="E82" s="20">
        <f t="shared" si="15"/>
        <v>0.29955424781521001</v>
      </c>
      <c r="F82" s="20">
        <f t="shared" si="16"/>
        <v>119.04932834519201</v>
      </c>
      <c r="G82" s="20">
        <f t="shared" si="17"/>
        <v>7.9506716548079908</v>
      </c>
      <c r="H82" s="20">
        <f t="shared" si="18"/>
        <v>7.9506716548079908</v>
      </c>
      <c r="I82" s="21">
        <f t="shared" si="19"/>
        <v>63.213179762567236</v>
      </c>
      <c r="J82" s="21">
        <f t="shared" si="20"/>
        <v>6.2603713817385751</v>
      </c>
    </row>
    <row r="83" spans="1:10" x14ac:dyDescent="0.35">
      <c r="A83" s="6">
        <v>75</v>
      </c>
      <c r="B83" s="19" t="str">
        <f>'Data Mentah'!B80</f>
        <v>03/06/2024</v>
      </c>
      <c r="C83" s="19">
        <f>'Data Mentah'!Q80</f>
        <v>124</v>
      </c>
      <c r="D83" s="20">
        <f t="shared" si="14"/>
        <v>124.34188398337072</v>
      </c>
      <c r="E83" s="20">
        <f t="shared" si="15"/>
        <v>0.1628006544669201</v>
      </c>
      <c r="F83" s="20">
        <f t="shared" si="16"/>
        <v>125.70941991685362</v>
      </c>
      <c r="G83" s="20">
        <f t="shared" si="17"/>
        <v>-1.7094199168536193</v>
      </c>
      <c r="H83" s="20">
        <f t="shared" si="18"/>
        <v>1.7094199168536193</v>
      </c>
      <c r="I83" s="21">
        <f t="shared" si="19"/>
        <v>2.9221164521358345</v>
      </c>
      <c r="J83" s="21">
        <f t="shared" si="20"/>
        <v>1.3785644490754994</v>
      </c>
    </row>
    <row r="84" spans="1:10" x14ac:dyDescent="0.35">
      <c r="A84" s="6">
        <v>76</v>
      </c>
      <c r="B84" s="19" t="str">
        <f>'Data Mentah'!B81</f>
        <v>10/06/2024</v>
      </c>
      <c r="C84" s="19">
        <f>'Data Mentah'!Q81</f>
        <v>123</v>
      </c>
      <c r="D84" s="20">
        <f t="shared" si="14"/>
        <v>123.30093692756753</v>
      </c>
      <c r="E84" s="20">
        <f t="shared" si="15"/>
        <v>4.2425883439909398E-2</v>
      </c>
      <c r="F84" s="20">
        <f t="shared" si="16"/>
        <v>124.50468463783764</v>
      </c>
      <c r="G84" s="20">
        <f t="shared" si="17"/>
        <v>-1.5046846378376415</v>
      </c>
      <c r="H84" s="20">
        <f t="shared" si="18"/>
        <v>1.5046846378376415</v>
      </c>
      <c r="I84" s="21">
        <f t="shared" si="19"/>
        <v>2.2640758593445942</v>
      </c>
      <c r="J84" s="21">
        <f t="shared" si="20"/>
        <v>1.2233208437704404</v>
      </c>
    </row>
    <row r="85" spans="1:10" x14ac:dyDescent="0.35">
      <c r="A85" s="6">
        <v>77</v>
      </c>
      <c r="B85" s="19" t="str">
        <f>'Data Mentah'!B82</f>
        <v>17/06/2024</v>
      </c>
      <c r="C85" s="19">
        <f>'Data Mentah'!Q82</f>
        <v>126</v>
      </c>
      <c r="D85" s="20">
        <f t="shared" si="14"/>
        <v>125.46867256220149</v>
      </c>
      <c r="E85" s="20">
        <f t="shared" si="15"/>
        <v>0.2549568585593141</v>
      </c>
      <c r="F85" s="20">
        <f t="shared" si="16"/>
        <v>123.34336281100744</v>
      </c>
      <c r="G85" s="20">
        <f t="shared" si="17"/>
        <v>2.656637188992562</v>
      </c>
      <c r="H85" s="20">
        <f t="shared" si="18"/>
        <v>2.656637188992562</v>
      </c>
      <c r="I85" s="21">
        <f t="shared" si="19"/>
        <v>7.0577211539383011</v>
      </c>
      <c r="J85" s="21">
        <f t="shared" si="20"/>
        <v>2.1084422134861605</v>
      </c>
    </row>
    <row r="86" spans="1:10" x14ac:dyDescent="0.35">
      <c r="A86" s="6">
        <v>78</v>
      </c>
      <c r="B86" s="19" t="str">
        <f>'Data Mentah'!B83</f>
        <v>24/06/2024</v>
      </c>
      <c r="C86" s="19">
        <f>'Data Mentah'!Q83</f>
        <v>133</v>
      </c>
      <c r="D86" s="20">
        <f t="shared" si="14"/>
        <v>131.54472588415217</v>
      </c>
      <c r="E86" s="20">
        <f t="shared" si="15"/>
        <v>0.83706650489845091</v>
      </c>
      <c r="F86" s="20">
        <f t="shared" si="16"/>
        <v>125.7236294207608</v>
      </c>
      <c r="G86" s="20">
        <f t="shared" si="17"/>
        <v>7.2763705792391988</v>
      </c>
      <c r="H86" s="20">
        <f t="shared" si="18"/>
        <v>7.2763705792391988</v>
      </c>
      <c r="I86" s="21">
        <f t="shared" si="19"/>
        <v>52.945568806417796</v>
      </c>
      <c r="J86" s="21">
        <f t="shared" si="20"/>
        <v>5.4709553227362395</v>
      </c>
    </row>
    <row r="87" spans="1:10" x14ac:dyDescent="0.35">
      <c r="A87" s="6">
        <v>79</v>
      </c>
      <c r="B87" s="19" t="str">
        <f>'Data Mentah'!B84</f>
        <v>01/07/2024</v>
      </c>
      <c r="C87" s="19">
        <f>'Data Mentah'!Q84</f>
        <v>136</v>
      </c>
      <c r="D87" s="20">
        <f t="shared" si="14"/>
        <v>135.27635847781013</v>
      </c>
      <c r="E87" s="20">
        <f t="shared" si="15"/>
        <v>1.1265231137744021</v>
      </c>
      <c r="F87" s="20">
        <f t="shared" si="16"/>
        <v>132.38179238905062</v>
      </c>
      <c r="G87" s="20">
        <f t="shared" si="17"/>
        <v>3.6182076109493835</v>
      </c>
      <c r="H87" s="20">
        <f t="shared" si="18"/>
        <v>3.6182076109493835</v>
      </c>
      <c r="I87" s="21">
        <f t="shared" si="19"/>
        <v>13.091426315932045</v>
      </c>
      <c r="J87" s="21">
        <f t="shared" si="20"/>
        <v>2.6604467727568997</v>
      </c>
    </row>
    <row r="88" spans="1:10" x14ac:dyDescent="0.35">
      <c r="A88" s="6">
        <v>80</v>
      </c>
      <c r="B88" s="19" t="str">
        <f>'Data Mentah'!B85</f>
        <v>08/07/2024</v>
      </c>
      <c r="C88" s="19">
        <f>'Data Mentah'!Q85</f>
        <v>141</v>
      </c>
      <c r="D88" s="20">
        <f t="shared" si="14"/>
        <v>140.0805763183169</v>
      </c>
      <c r="E88" s="20">
        <f t="shared" si="15"/>
        <v>1.4942925864476384</v>
      </c>
      <c r="F88" s="20">
        <f t="shared" si="16"/>
        <v>136.40288159158453</v>
      </c>
      <c r="G88" s="20">
        <f t="shared" si="17"/>
        <v>4.5971184084154686</v>
      </c>
      <c r="H88" s="20">
        <f t="shared" si="18"/>
        <v>4.5971184084154686</v>
      </c>
      <c r="I88" s="21">
        <f t="shared" si="19"/>
        <v>21.133497660992372</v>
      </c>
      <c r="J88" s="21">
        <f t="shared" si="20"/>
        <v>3.2603676655428857</v>
      </c>
    </row>
    <row r="89" spans="1:10" x14ac:dyDescent="0.35">
      <c r="A89" s="6">
        <v>81</v>
      </c>
      <c r="B89" s="19" t="str">
        <f>'Data Mentah'!B86</f>
        <v>15/07/2024</v>
      </c>
      <c r="C89" s="19">
        <f>'Data Mentah'!Q86</f>
        <v>134</v>
      </c>
      <c r="D89" s="20">
        <f t="shared" si="14"/>
        <v>135.51497378095291</v>
      </c>
      <c r="E89" s="20">
        <f t="shared" si="15"/>
        <v>0.88830307406647591</v>
      </c>
      <c r="F89" s="20">
        <f t="shared" si="16"/>
        <v>141.57486890476454</v>
      </c>
      <c r="G89" s="20">
        <f t="shared" si="17"/>
        <v>-7.5748689047645428</v>
      </c>
      <c r="H89" s="20">
        <f t="shared" si="18"/>
        <v>7.5748689047645428</v>
      </c>
      <c r="I89" s="21">
        <f t="shared" si="19"/>
        <v>57.378638924368786</v>
      </c>
      <c r="J89" s="21">
        <f t="shared" si="20"/>
        <v>5.652887242361599</v>
      </c>
    </row>
    <row r="90" spans="1:10" x14ac:dyDescent="0.35">
      <c r="A90" s="6">
        <v>82</v>
      </c>
      <c r="B90" s="19" t="str">
        <f>'Data Mentah'!B87</f>
        <v>22/07/2024</v>
      </c>
      <c r="C90" s="19">
        <f>'Data Mentah'!Q87</f>
        <v>120</v>
      </c>
      <c r="D90" s="20">
        <f t="shared" si="14"/>
        <v>123.28065537100387</v>
      </c>
      <c r="E90" s="20">
        <f t="shared" si="15"/>
        <v>-0.42395907433507574</v>
      </c>
      <c r="F90" s="20">
        <f t="shared" si="16"/>
        <v>136.40327685501939</v>
      </c>
      <c r="G90" s="20">
        <f t="shared" si="17"/>
        <v>-16.403276855019385</v>
      </c>
      <c r="H90" s="20">
        <f t="shared" si="18"/>
        <v>16.403276855019385</v>
      </c>
      <c r="I90" s="21">
        <f t="shared" si="19"/>
        <v>269.06749158241468</v>
      </c>
      <c r="J90" s="21">
        <f t="shared" si="20"/>
        <v>13.66939737918282</v>
      </c>
    </row>
    <row r="91" spans="1:10" x14ac:dyDescent="0.35">
      <c r="A91" s="6">
        <v>83</v>
      </c>
      <c r="B91" s="19" t="str">
        <f>'Data Mentah'!B88</f>
        <v>29/07/2024</v>
      </c>
      <c r="C91" s="19">
        <f>'Data Mentah'!Q88</f>
        <v>119</v>
      </c>
      <c r="D91" s="20">
        <f t="shared" si="14"/>
        <v>119.77133925933376</v>
      </c>
      <c r="E91" s="20">
        <f t="shared" si="15"/>
        <v>-0.73249477806857988</v>
      </c>
      <c r="F91" s="20">
        <f t="shared" si="16"/>
        <v>122.8566962966688</v>
      </c>
      <c r="G91" s="20">
        <f t="shared" si="17"/>
        <v>-3.856696296668801</v>
      </c>
      <c r="H91" s="20">
        <f t="shared" si="18"/>
        <v>3.856696296668801</v>
      </c>
      <c r="I91" s="21">
        <f t="shared" si="19"/>
        <v>14.874106324738845</v>
      </c>
      <c r="J91" s="21">
        <f t="shared" si="20"/>
        <v>3.2409212577048749</v>
      </c>
    </row>
    <row r="92" spans="1:10" x14ac:dyDescent="0.35">
      <c r="A92" s="6">
        <v>84</v>
      </c>
      <c r="B92" s="19" t="str">
        <f>'Data Mentah'!B89</f>
        <v>05/08/2024</v>
      </c>
      <c r="C92" s="19">
        <f>'Data Mentah'!Q89</f>
        <v>108</v>
      </c>
      <c r="D92" s="20">
        <f t="shared" si="14"/>
        <v>110.20776889625304</v>
      </c>
      <c r="E92" s="20">
        <f t="shared" si="15"/>
        <v>-1.6156023365697934</v>
      </c>
      <c r="F92" s="20">
        <f t="shared" si="16"/>
        <v>119.03884448126517</v>
      </c>
      <c r="G92" s="20">
        <f t="shared" si="17"/>
        <v>-11.038844481265173</v>
      </c>
      <c r="H92" s="20">
        <f t="shared" si="18"/>
        <v>11.038844481265173</v>
      </c>
      <c r="I92" s="21">
        <f t="shared" si="19"/>
        <v>121.85608748155856</v>
      </c>
      <c r="J92" s="21">
        <f t="shared" si="20"/>
        <v>10.221152297467752</v>
      </c>
    </row>
    <row r="93" spans="1:10" x14ac:dyDescent="0.35">
      <c r="A93" s="6">
        <v>85</v>
      </c>
      <c r="B93" s="19" t="str">
        <f>'Data Mentah'!B90</f>
        <v>12/08/2024</v>
      </c>
      <c r="C93" s="19">
        <f>'Data Mentah'!Q90</f>
        <v>113</v>
      </c>
      <c r="D93" s="20">
        <f t="shared" si="14"/>
        <v>112.11843331193666</v>
      </c>
      <c r="E93" s="20">
        <f t="shared" si="15"/>
        <v>-1.2629756613444529</v>
      </c>
      <c r="F93" s="20">
        <f t="shared" si="16"/>
        <v>108.59216655968325</v>
      </c>
      <c r="G93" s="20">
        <f t="shared" si="17"/>
        <v>4.4078334403167503</v>
      </c>
      <c r="H93" s="20">
        <f t="shared" si="18"/>
        <v>4.4078334403167503</v>
      </c>
      <c r="I93" s="21">
        <f t="shared" si="19"/>
        <v>19.428995637574598</v>
      </c>
      <c r="J93" s="21">
        <f t="shared" si="20"/>
        <v>3.9007375578024339</v>
      </c>
    </row>
    <row r="94" spans="1:10" x14ac:dyDescent="0.35">
      <c r="A94" s="6">
        <v>86</v>
      </c>
      <c r="B94" s="19" t="str">
        <f>'Data Mentah'!B91</f>
        <v>19/08/2024</v>
      </c>
      <c r="C94" s="19">
        <f>'Data Mentah'!Q91</f>
        <v>120</v>
      </c>
      <c r="D94" s="20">
        <f t="shared" si="14"/>
        <v>118.17109153011843</v>
      </c>
      <c r="E94" s="20">
        <f t="shared" si="15"/>
        <v>-0.53141227339183006</v>
      </c>
      <c r="F94" s="20">
        <f t="shared" si="16"/>
        <v>110.8554576505922</v>
      </c>
      <c r="G94" s="20">
        <f t="shared" si="17"/>
        <v>9.1445423494078</v>
      </c>
      <c r="H94" s="20">
        <f t="shared" si="18"/>
        <v>9.1445423494078</v>
      </c>
      <c r="I94" s="21">
        <f t="shared" si="19"/>
        <v>83.622654780112725</v>
      </c>
      <c r="J94" s="21">
        <f t="shared" si="20"/>
        <v>7.6204519578398324</v>
      </c>
    </row>
    <row r="95" spans="1:10" x14ac:dyDescent="0.35">
      <c r="A95" s="6">
        <v>87</v>
      </c>
      <c r="B95" s="19" t="str">
        <f>'Data Mentah'!B92</f>
        <v>26/08/2024</v>
      </c>
      <c r="C95" s="19">
        <f>'Data Mentah'!Q92</f>
        <v>118</v>
      </c>
      <c r="D95" s="20">
        <f t="shared" si="14"/>
        <v>117.92793585134532</v>
      </c>
      <c r="E95" s="20">
        <f t="shared" si="15"/>
        <v>-0.50258661392995774</v>
      </c>
      <c r="F95" s="20">
        <f t="shared" si="16"/>
        <v>117.63967925672659</v>
      </c>
      <c r="G95" s="20">
        <f t="shared" si="17"/>
        <v>0.36032074327340524</v>
      </c>
      <c r="H95" s="20">
        <f t="shared" si="18"/>
        <v>0.36032074327340524</v>
      </c>
      <c r="I95" s="21">
        <f t="shared" si="19"/>
        <v>0.1298310380330992</v>
      </c>
      <c r="J95" s="21">
        <f t="shared" si="20"/>
        <v>0.30535656209610618</v>
      </c>
    </row>
    <row r="96" spans="1:10" x14ac:dyDescent="0.35">
      <c r="A96" s="6">
        <v>88</v>
      </c>
      <c r="B96" s="19" t="str">
        <f>'Data Mentah'!B93</f>
        <v>02/09/2024</v>
      </c>
      <c r="C96" s="19">
        <f>'Data Mentah'!Q93</f>
        <v>126</v>
      </c>
      <c r="D96" s="20">
        <f t="shared" si="14"/>
        <v>124.28506984748307</v>
      </c>
      <c r="E96" s="20">
        <f t="shared" si="15"/>
        <v>0.18338544707681287</v>
      </c>
      <c r="F96" s="20">
        <f t="shared" si="16"/>
        <v>117.42534923741536</v>
      </c>
      <c r="G96" s="20">
        <f t="shared" si="17"/>
        <v>8.5746507625846391</v>
      </c>
      <c r="H96" s="20">
        <f t="shared" si="18"/>
        <v>8.5746507625846391</v>
      </c>
      <c r="I96" s="21">
        <f t="shared" si="19"/>
        <v>73.524635700293331</v>
      </c>
      <c r="J96" s="21">
        <f t="shared" si="20"/>
        <v>6.8052783830036825</v>
      </c>
    </row>
    <row r="97" spans="1:10" x14ac:dyDescent="0.35">
      <c r="A97" s="6">
        <v>89</v>
      </c>
      <c r="B97" s="19" t="str">
        <f>'Data Mentah'!B94</f>
        <v>09/09/2024</v>
      </c>
      <c r="C97" s="19">
        <f>'Data Mentah'!Q94</f>
        <v>125</v>
      </c>
      <c r="D97" s="20">
        <f t="shared" si="14"/>
        <v>124.89369105891197</v>
      </c>
      <c r="E97" s="20">
        <f t="shared" si="15"/>
        <v>0.22590902351202127</v>
      </c>
      <c r="F97" s="20">
        <f t="shared" si="16"/>
        <v>124.46845529455989</v>
      </c>
      <c r="G97" s="20">
        <f t="shared" si="17"/>
        <v>0.5315447054401119</v>
      </c>
      <c r="H97" s="20">
        <f t="shared" si="18"/>
        <v>0.5315447054401119</v>
      </c>
      <c r="I97" s="21">
        <f t="shared" si="19"/>
        <v>0.28253977388141532</v>
      </c>
      <c r="J97" s="21">
        <f t="shared" si="20"/>
        <v>0.42523576435208954</v>
      </c>
    </row>
    <row r="98" spans="1:10" x14ac:dyDescent="0.35">
      <c r="A98" s="6">
        <v>90</v>
      </c>
      <c r="B98" s="19" t="str">
        <f>'Data Mentah'!B95</f>
        <v>16/09/2024</v>
      </c>
      <c r="C98" s="19">
        <f>'Data Mentah'!Q95</f>
        <v>122</v>
      </c>
      <c r="D98" s="20">
        <f t="shared" si="14"/>
        <v>122.6239200164848</v>
      </c>
      <c r="E98" s="20">
        <f t="shared" si="15"/>
        <v>-2.3658983081897483E-2</v>
      </c>
      <c r="F98" s="20">
        <f t="shared" si="16"/>
        <v>125.11960008242399</v>
      </c>
      <c r="G98" s="20">
        <f t="shared" si="17"/>
        <v>-3.119600082423986</v>
      </c>
      <c r="H98" s="20">
        <f t="shared" si="18"/>
        <v>3.119600082423986</v>
      </c>
      <c r="I98" s="21">
        <f t="shared" si="19"/>
        <v>9.7319046742597397</v>
      </c>
      <c r="J98" s="21">
        <f t="shared" si="20"/>
        <v>2.557049247888513</v>
      </c>
    </row>
    <row r="99" spans="1:10" x14ac:dyDescent="0.35">
      <c r="A99" s="6">
        <v>91</v>
      </c>
      <c r="B99" s="19" t="str">
        <f>'Data Mentah'!B96</f>
        <v>23/09/2024</v>
      </c>
      <c r="C99" s="19">
        <f>'Data Mentah'!Q96</f>
        <v>123</v>
      </c>
      <c r="D99" s="20">
        <f t="shared" si="14"/>
        <v>122.92005220668058</v>
      </c>
      <c r="E99" s="20">
        <f t="shared" si="15"/>
        <v>8.3201342458700048E-3</v>
      </c>
      <c r="F99" s="20">
        <f t="shared" si="16"/>
        <v>122.6002610334029</v>
      </c>
      <c r="G99" s="20">
        <f t="shared" si="17"/>
        <v>0.39973896659709851</v>
      </c>
      <c r="H99" s="20">
        <f t="shared" si="18"/>
        <v>0.39973896659709851</v>
      </c>
      <c r="I99" s="21">
        <f t="shared" si="19"/>
        <v>0.15979124141611623</v>
      </c>
      <c r="J99" s="21">
        <f t="shared" si="20"/>
        <v>0.32499102975373861</v>
      </c>
    </row>
    <row r="100" spans="1:10" x14ac:dyDescent="0.35">
      <c r="A100" s="6">
        <v>92</v>
      </c>
      <c r="B100" s="19" t="str">
        <f>'Data Mentah'!B97</f>
        <v>30/09/2024</v>
      </c>
      <c r="C100" s="19">
        <f>'Data Mentah'!Q97</f>
        <v>119</v>
      </c>
      <c r="D100" s="20">
        <f t="shared" si="14"/>
        <v>119.78567446818528</v>
      </c>
      <c r="E100" s="20">
        <f t="shared" si="15"/>
        <v>-0.30594965302824728</v>
      </c>
      <c r="F100" s="20">
        <f t="shared" si="16"/>
        <v>122.92837234092644</v>
      </c>
      <c r="G100" s="20">
        <f t="shared" si="17"/>
        <v>-3.9283723409264439</v>
      </c>
      <c r="H100" s="20">
        <f t="shared" si="18"/>
        <v>3.9283723409264439</v>
      </c>
      <c r="I100" s="21">
        <f t="shared" si="19"/>
        <v>15.432109248955909</v>
      </c>
      <c r="J100" s="21">
        <f t="shared" si="20"/>
        <v>3.3011532276692805</v>
      </c>
    </row>
    <row r="101" spans="1:10" x14ac:dyDescent="0.35">
      <c r="A101" s="6">
        <v>93</v>
      </c>
      <c r="B101" s="19" t="str">
        <f>'Data Mentah'!B98</f>
        <v>07/10/2024</v>
      </c>
      <c r="C101" s="19">
        <f>'Data Mentah'!Q98</f>
        <v>116</v>
      </c>
      <c r="D101" s="20">
        <f t="shared" si="14"/>
        <v>116.69594496303141</v>
      </c>
      <c r="E101" s="20">
        <f t="shared" si="15"/>
        <v>-0.58432763824080947</v>
      </c>
      <c r="F101" s="20">
        <f t="shared" si="16"/>
        <v>119.47972481515703</v>
      </c>
      <c r="G101" s="20">
        <f t="shared" si="17"/>
        <v>-3.4797248151570273</v>
      </c>
      <c r="H101" s="20">
        <f t="shared" si="18"/>
        <v>3.4797248151570273</v>
      </c>
      <c r="I101" s="21">
        <f t="shared" si="19"/>
        <v>12.108484789219608</v>
      </c>
      <c r="J101" s="21">
        <f t="shared" si="20"/>
        <v>2.9997627716870925</v>
      </c>
    </row>
    <row r="102" spans="1:10" x14ac:dyDescent="0.35">
      <c r="A102" s="6">
        <v>94</v>
      </c>
      <c r="B102" s="19" t="str">
        <f>'Data Mentah'!B99</f>
        <v>14/10/2024</v>
      </c>
      <c r="C102" s="19">
        <f>'Data Mentah'!Q99</f>
        <v>117</v>
      </c>
      <c r="D102" s="20">
        <f t="shared" si="14"/>
        <v>116.82232346495812</v>
      </c>
      <c r="E102" s="20">
        <f t="shared" si="15"/>
        <v>-0.51325702422405761</v>
      </c>
      <c r="F102" s="20">
        <f t="shared" si="16"/>
        <v>116.1116173247906</v>
      </c>
      <c r="G102" s="20">
        <f t="shared" si="17"/>
        <v>0.88838267520939951</v>
      </c>
      <c r="H102" s="20">
        <f t="shared" si="18"/>
        <v>0.88838267520939951</v>
      </c>
      <c r="I102" s="21">
        <f t="shared" si="19"/>
        <v>0.78922377761220941</v>
      </c>
      <c r="J102" s="21">
        <f t="shared" si="20"/>
        <v>0.75930143180290555</v>
      </c>
    </row>
    <row r="103" spans="1:10" x14ac:dyDescent="0.35">
      <c r="A103" s="6">
        <v>95</v>
      </c>
      <c r="B103" s="19" t="str">
        <f>'Data Mentah'!B100</f>
        <v>21/10/2024</v>
      </c>
      <c r="C103" s="19">
        <f>'Data Mentah'!Q100</f>
        <v>115</v>
      </c>
      <c r="D103" s="20">
        <f t="shared" si="14"/>
        <v>115.26181328814681</v>
      </c>
      <c r="E103" s="20">
        <f t="shared" si="15"/>
        <v>-0.61798233948278247</v>
      </c>
      <c r="F103" s="20">
        <f t="shared" si="16"/>
        <v>116.30906644073406</v>
      </c>
      <c r="G103" s="20">
        <f t="shared" si="17"/>
        <v>-1.3090664407340569</v>
      </c>
      <c r="H103" s="20">
        <f t="shared" si="18"/>
        <v>1.3090664407340569</v>
      </c>
      <c r="I103" s="21">
        <f t="shared" si="19"/>
        <v>1.7136549462561321</v>
      </c>
      <c r="J103" s="21">
        <f t="shared" si="20"/>
        <v>1.1383186441165711</v>
      </c>
    </row>
    <row r="104" spans="1:10" x14ac:dyDescent="0.35">
      <c r="A104" s="6">
        <v>96</v>
      </c>
      <c r="B104" s="19" t="str">
        <f>'Data Mentah'!B101</f>
        <v>28/10/2024</v>
      </c>
      <c r="C104" s="19">
        <f>'Data Mentah'!Q101</f>
        <v>119</v>
      </c>
      <c r="D104" s="20">
        <f t="shared" si="14"/>
        <v>118.1287661897328</v>
      </c>
      <c r="E104" s="20">
        <f t="shared" si="15"/>
        <v>-0.2694888153759053</v>
      </c>
      <c r="F104" s="20">
        <f t="shared" si="16"/>
        <v>114.64383094866403</v>
      </c>
      <c r="G104" s="20">
        <f t="shared" si="17"/>
        <v>4.3561690513359679</v>
      </c>
      <c r="H104" s="20">
        <f t="shared" si="18"/>
        <v>4.3561690513359679</v>
      </c>
      <c r="I104" s="21">
        <f t="shared" si="19"/>
        <v>18.976208803817308</v>
      </c>
      <c r="J104" s="21">
        <f t="shared" si="20"/>
        <v>3.660646261626864</v>
      </c>
    </row>
    <row r="105" spans="1:10" x14ac:dyDescent="0.35">
      <c r="A105" s="6">
        <v>97</v>
      </c>
      <c r="B105" s="19" t="str">
        <f>'Data Mentah'!B102</f>
        <v>04/11/2024</v>
      </c>
      <c r="C105" s="19">
        <f>'Data Mentah'!Q102</f>
        <v>124</v>
      </c>
      <c r="D105" s="20">
        <f t="shared" ref="D105:D136" si="21">$E$4*C105+(1-$E$4)*(D104+E104)</f>
        <v>122.77185547487137</v>
      </c>
      <c r="E105" s="20">
        <f t="shared" ref="E105:E136" si="22">$H$4*(D105-D104)+(1-$H$4)*E104</f>
        <v>0.22176899467554248</v>
      </c>
      <c r="F105" s="20">
        <f t="shared" ref="F105:F113" si="23">D104+E104</f>
        <v>117.85927737435689</v>
      </c>
      <c r="G105" s="20">
        <f t="shared" ref="G105:G136" si="24">C105-F105</f>
        <v>6.1407226256431073</v>
      </c>
      <c r="H105" s="20">
        <f t="shared" ref="H105:H136" si="25">ABS(G105)</f>
        <v>6.1407226256431073</v>
      </c>
      <c r="I105" s="21">
        <f t="shared" ref="I105:I113" si="26">G105^2</f>
        <v>37.708474365085181</v>
      </c>
      <c r="J105" s="21">
        <f t="shared" ref="J105:J113" si="27">ABS(G105/C105)*100</f>
        <v>4.9521956658412156</v>
      </c>
    </row>
    <row r="106" spans="1:10" x14ac:dyDescent="0.35">
      <c r="A106" s="6">
        <v>98</v>
      </c>
      <c r="B106" s="19" t="str">
        <f>'Data Mentah'!B103</f>
        <v>11/11/2024</v>
      </c>
      <c r="C106" s="19">
        <f>'Data Mentah'!Q103</f>
        <v>125</v>
      </c>
      <c r="D106" s="20">
        <f t="shared" si="21"/>
        <v>124.59872489390938</v>
      </c>
      <c r="E106" s="20">
        <f t="shared" si="22"/>
        <v>0.38227903711178868</v>
      </c>
      <c r="F106" s="20">
        <f t="shared" si="23"/>
        <v>122.99362446954692</v>
      </c>
      <c r="G106" s="20">
        <f t="shared" si="24"/>
        <v>2.0063755304530844</v>
      </c>
      <c r="H106" s="20">
        <f t="shared" si="25"/>
        <v>2.0063755304530844</v>
      </c>
      <c r="I106" s="21">
        <f t="shared" si="26"/>
        <v>4.0255427692008956</v>
      </c>
      <c r="J106" s="21">
        <f t="shared" si="27"/>
        <v>1.6051004243624676</v>
      </c>
    </row>
    <row r="107" spans="1:10" x14ac:dyDescent="0.35">
      <c r="A107" s="6">
        <v>99</v>
      </c>
      <c r="B107" s="19" t="str">
        <f>'Data Mentah'!B104</f>
        <v>18/11/2024</v>
      </c>
      <c r="C107" s="19">
        <f>'Data Mentah'!Q104</f>
        <v>123</v>
      </c>
      <c r="D107" s="20">
        <f t="shared" si="21"/>
        <v>123.39620078620423</v>
      </c>
      <c r="E107" s="20">
        <f t="shared" si="22"/>
        <v>0.22379872263009537</v>
      </c>
      <c r="F107" s="20">
        <f t="shared" si="23"/>
        <v>124.98100393102116</v>
      </c>
      <c r="G107" s="20">
        <f t="shared" si="24"/>
        <v>-1.9810039310211636</v>
      </c>
      <c r="H107" s="20">
        <f t="shared" si="25"/>
        <v>1.9810039310211636</v>
      </c>
      <c r="I107" s="21">
        <f t="shared" si="26"/>
        <v>3.9243765747213031</v>
      </c>
      <c r="J107" s="21">
        <f t="shared" si="27"/>
        <v>1.6105723016432223</v>
      </c>
    </row>
    <row r="108" spans="1:10" x14ac:dyDescent="0.35">
      <c r="A108" s="6">
        <v>100</v>
      </c>
      <c r="B108" s="19" t="str">
        <f>'Data Mentah'!B105</f>
        <v>25/11/2024</v>
      </c>
      <c r="C108" s="19">
        <f>'Data Mentah'!Q105</f>
        <v>122</v>
      </c>
      <c r="D108" s="20">
        <f t="shared" si="21"/>
        <v>122.32399990176687</v>
      </c>
      <c r="E108" s="20">
        <f t="shared" si="22"/>
        <v>9.4198761923349361E-2</v>
      </c>
      <c r="F108" s="20">
        <f t="shared" si="23"/>
        <v>123.61999950883433</v>
      </c>
      <c r="G108" s="20">
        <f t="shared" si="24"/>
        <v>-1.6199995088343258</v>
      </c>
      <c r="H108" s="20">
        <f t="shared" si="25"/>
        <v>1.6199995088343258</v>
      </c>
      <c r="I108" s="21">
        <f t="shared" si="26"/>
        <v>2.6243984086234566</v>
      </c>
      <c r="J108" s="21">
        <f t="shared" si="27"/>
        <v>1.3278684498642013</v>
      </c>
    </row>
    <row r="109" spans="1:10" x14ac:dyDescent="0.35">
      <c r="A109" s="6">
        <v>101</v>
      </c>
      <c r="B109" s="19" t="str">
        <f>'Data Mentah'!B106</f>
        <v>02/12/2024</v>
      </c>
      <c r="C109" s="19">
        <f>'Data Mentah'!Q106</f>
        <v>128</v>
      </c>
      <c r="D109" s="20">
        <f t="shared" si="21"/>
        <v>126.88363973273805</v>
      </c>
      <c r="E109" s="20">
        <f t="shared" si="22"/>
        <v>0.54074286882813227</v>
      </c>
      <c r="F109" s="20">
        <f t="shared" si="23"/>
        <v>122.41819866369022</v>
      </c>
      <c r="G109" s="20">
        <f t="shared" si="24"/>
        <v>5.5818013363097805</v>
      </c>
      <c r="H109" s="20">
        <f t="shared" si="25"/>
        <v>5.5818013363097805</v>
      </c>
      <c r="I109" s="21">
        <f t="shared" si="26"/>
        <v>31.15650615802965</v>
      </c>
      <c r="J109" s="21">
        <f t="shared" si="27"/>
        <v>4.360782293992016</v>
      </c>
    </row>
    <row r="110" spans="1:10" x14ac:dyDescent="0.35">
      <c r="A110" s="6">
        <v>102</v>
      </c>
      <c r="B110" s="19" t="str">
        <f>'Data Mentah'!B107</f>
        <v>09/12/2024</v>
      </c>
      <c r="C110" s="19">
        <f>'Data Mentah'!Q107</f>
        <v>133</v>
      </c>
      <c r="D110" s="20">
        <f t="shared" si="21"/>
        <v>131.88487652031324</v>
      </c>
      <c r="E110" s="20">
        <f t="shared" si="22"/>
        <v>0.98679226070283854</v>
      </c>
      <c r="F110" s="20">
        <f t="shared" si="23"/>
        <v>127.42438260156618</v>
      </c>
      <c r="G110" s="20">
        <f t="shared" si="24"/>
        <v>5.5756173984338204</v>
      </c>
      <c r="H110" s="20">
        <f t="shared" si="25"/>
        <v>5.5756173984338204</v>
      </c>
      <c r="I110" s="21">
        <f t="shared" si="26"/>
        <v>31.087509373717925</v>
      </c>
      <c r="J110" s="21">
        <f t="shared" si="27"/>
        <v>4.1921935326570079</v>
      </c>
    </row>
    <row r="111" spans="1:10" x14ac:dyDescent="0.35">
      <c r="A111" s="6">
        <v>103</v>
      </c>
      <c r="B111" s="19" t="str">
        <f>'Data Mentah'!B108</f>
        <v>16/12/2024</v>
      </c>
      <c r="C111" s="19">
        <f>'Data Mentah'!Q108</f>
        <v>136</v>
      </c>
      <c r="D111" s="20">
        <f t="shared" si="21"/>
        <v>135.37433375620321</v>
      </c>
      <c r="E111" s="20">
        <f t="shared" si="22"/>
        <v>1.237058758221552</v>
      </c>
      <c r="F111" s="20">
        <f t="shared" si="23"/>
        <v>132.87166878101607</v>
      </c>
      <c r="G111" s="20">
        <f t="shared" si="24"/>
        <v>3.1283312189839307</v>
      </c>
      <c r="H111" s="20">
        <f t="shared" si="25"/>
        <v>3.1283312189839307</v>
      </c>
      <c r="I111" s="21">
        <f t="shared" si="26"/>
        <v>9.7864562156694852</v>
      </c>
      <c r="J111" s="21">
        <f t="shared" si="27"/>
        <v>2.300243543370537</v>
      </c>
    </row>
    <row r="112" spans="1:10" x14ac:dyDescent="0.35">
      <c r="A112" s="6">
        <v>104</v>
      </c>
      <c r="B112" s="19" t="str">
        <f>'Data Mentah'!B109</f>
        <v>23/12/2024</v>
      </c>
      <c r="C112" s="19">
        <f>'Data Mentah'!Q109</f>
        <v>147</v>
      </c>
      <c r="D112" s="20">
        <f t="shared" si="21"/>
        <v>144.92227850288495</v>
      </c>
      <c r="E112" s="20">
        <f t="shared" si="22"/>
        <v>2.0681473570675704</v>
      </c>
      <c r="F112" s="20">
        <f t="shared" si="23"/>
        <v>136.61139251442478</v>
      </c>
      <c r="G112" s="20">
        <f t="shared" si="24"/>
        <v>10.388607485575221</v>
      </c>
      <c r="H112" s="20">
        <f t="shared" si="25"/>
        <v>10.388607485575221</v>
      </c>
      <c r="I112" s="21">
        <f t="shared" si="26"/>
        <v>107.92316548934951</v>
      </c>
      <c r="J112" s="21">
        <f t="shared" si="27"/>
        <v>7.0670799221600147</v>
      </c>
    </row>
    <row r="113" spans="1:10" x14ac:dyDescent="0.35">
      <c r="A113" s="6">
        <v>105</v>
      </c>
      <c r="B113" s="19" t="str">
        <f>'Data Mentah'!B110</f>
        <v>30/12/2024</v>
      </c>
      <c r="C113" s="19">
        <f>'Data Mentah'!Q110</f>
        <v>113</v>
      </c>
      <c r="D113" s="20">
        <f t="shared" si="21"/>
        <v>119.79808517199051</v>
      </c>
      <c r="E113" s="20">
        <f t="shared" si="22"/>
        <v>-0.65108671172863097</v>
      </c>
      <c r="F113" s="20">
        <f t="shared" si="23"/>
        <v>146.99042585995252</v>
      </c>
      <c r="G113" s="20">
        <f t="shared" si="24"/>
        <v>-33.990425859952524</v>
      </c>
      <c r="H113" s="20">
        <f t="shared" si="25"/>
        <v>33.990425859952524</v>
      </c>
      <c r="I113" s="21">
        <f t="shared" si="26"/>
        <v>1155.3490501409292</v>
      </c>
      <c r="J113" s="21">
        <f t="shared" si="27"/>
        <v>30.080022884913738</v>
      </c>
    </row>
    <row r="115" spans="1:10" x14ac:dyDescent="0.35">
      <c r="A115" s="2" t="s">
        <v>178</v>
      </c>
      <c r="B115" s="2"/>
      <c r="C115" s="2"/>
      <c r="D115" s="2"/>
    </row>
    <row r="116" spans="1:10" x14ac:dyDescent="0.35">
      <c r="A116" s="1" t="s">
        <v>179</v>
      </c>
      <c r="B116" s="1"/>
      <c r="C116" s="1"/>
      <c r="D116" s="22">
        <f>AVERAGE(H93:H113)</f>
        <v>5.2815633937435065</v>
      </c>
    </row>
    <row r="117" spans="1:10" x14ac:dyDescent="0.35">
      <c r="A117" s="1" t="s">
        <v>180</v>
      </c>
      <c r="B117" s="1"/>
      <c r="C117" s="1"/>
      <c r="D117" s="22">
        <f>AVERAGE(I93:I113)</f>
        <v>77.118357805083747</v>
      </c>
    </row>
    <row r="118" spans="1:10" x14ac:dyDescent="0.35">
      <c r="A118" s="1" t="s">
        <v>181</v>
      </c>
      <c r="B118" s="1"/>
      <c r="C118" s="1"/>
      <c r="D118" s="23">
        <f>AVERAGE(J93:J113)</f>
        <v>4.3473496123068349</v>
      </c>
    </row>
    <row r="119" spans="1:10" x14ac:dyDescent="0.35">
      <c r="A119" s="1" t="s">
        <v>182</v>
      </c>
      <c r="B119" s="1"/>
      <c r="C119" s="1"/>
      <c r="D119" s="24" t="str">
        <f>IF(D118&lt;10,"Sangat Baik",IF(D118&lt;20,"Baik",IF(D118&lt;=50,"Cukup","Rendah")))</f>
        <v>Sangat Baik</v>
      </c>
    </row>
    <row r="120" spans="1:10" x14ac:dyDescent="0.35">
      <c r="A120" s="1" t="s">
        <v>183</v>
      </c>
      <c r="B120" s="1"/>
      <c r="C120" s="1"/>
      <c r="D120" s="23">
        <f>D113+E113</f>
        <v>119.14699846026187</v>
      </c>
    </row>
    <row r="121" spans="1:10" x14ac:dyDescent="0.35">
      <c r="A121" s="1" t="s">
        <v>184</v>
      </c>
      <c r="B121" s="1"/>
      <c r="C121" s="1"/>
      <c r="D121" s="23">
        <f>AVERAGE(C9:C113)</f>
        <v>122</v>
      </c>
    </row>
  </sheetData>
  <mergeCells count="9">
    <mergeCell ref="A118:C118"/>
    <mergeCell ref="A119:C119"/>
    <mergeCell ref="A120:C120"/>
    <mergeCell ref="A121:C121"/>
    <mergeCell ref="A1:J1"/>
    <mergeCell ref="A2:J2"/>
    <mergeCell ref="A115:D115"/>
    <mergeCell ref="A116:C116"/>
    <mergeCell ref="A117:C117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121"/>
  <sheetViews>
    <sheetView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8.6328125" defaultRowHeight="14.5" x14ac:dyDescent="0.35"/>
  <cols>
    <col min="1" max="1" width="9" customWidth="1"/>
    <col min="2" max="2" width="12" customWidth="1"/>
    <col min="3" max="3" width="9" customWidth="1"/>
    <col min="4" max="6" width="11" customWidth="1"/>
    <col min="7" max="8" width="10" customWidth="1"/>
    <col min="9" max="9" width="11" customWidth="1"/>
    <col min="10" max="10" width="10" customWidth="1"/>
  </cols>
  <sheetData>
    <row r="1" spans="1:10" ht="18" x14ac:dyDescent="0.4">
      <c r="A1" s="3" t="s">
        <v>192</v>
      </c>
      <c r="B1" s="3"/>
      <c r="C1" s="3"/>
      <c r="D1" s="3"/>
      <c r="E1" s="3"/>
      <c r="F1" s="3"/>
      <c r="G1" s="3"/>
      <c r="H1" s="3"/>
      <c r="I1" s="3"/>
      <c r="J1" s="3"/>
    </row>
    <row r="2" spans="1:10" ht="27.75" customHeight="1" x14ac:dyDescent="0.35">
      <c r="A2" s="4" t="s">
        <v>163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35">
      <c r="A4" s="15" t="s">
        <v>164</v>
      </c>
      <c r="B4" s="16" t="s">
        <v>20</v>
      </c>
      <c r="D4" s="15" t="s">
        <v>165</v>
      </c>
      <c r="E4" s="17">
        <v>0.9</v>
      </c>
      <c r="G4" s="15" t="s">
        <v>166</v>
      </c>
      <c r="H4" s="17">
        <v>0.5</v>
      </c>
    </row>
    <row r="5" spans="1:10" x14ac:dyDescent="0.35">
      <c r="A5" s="15" t="s">
        <v>167</v>
      </c>
      <c r="B5" s="18">
        <f>'Data Mentah'!R5</f>
        <v>21</v>
      </c>
      <c r="D5" s="15" t="s">
        <v>168</v>
      </c>
      <c r="E5" s="17">
        <v>0</v>
      </c>
    </row>
    <row r="7" spans="1:10" x14ac:dyDescent="0.35">
      <c r="A7" s="5" t="s">
        <v>169</v>
      </c>
      <c r="B7" s="5" t="s">
        <v>4</v>
      </c>
      <c r="C7" s="5" t="s">
        <v>170</v>
      </c>
      <c r="D7" s="5" t="s">
        <v>171</v>
      </c>
      <c r="E7" s="5" t="s">
        <v>172</v>
      </c>
      <c r="F7" s="5" t="s">
        <v>173</v>
      </c>
      <c r="G7" s="5" t="s">
        <v>174</v>
      </c>
      <c r="H7" s="5" t="s">
        <v>175</v>
      </c>
      <c r="I7" s="5" t="s">
        <v>176</v>
      </c>
      <c r="J7" s="5" t="s">
        <v>177</v>
      </c>
    </row>
    <row r="8" spans="1:10" x14ac:dyDescent="0.35">
      <c r="A8" s="6">
        <v>0</v>
      </c>
      <c r="B8" s="19" t="str">
        <f>'Data Mentah'!B5</f>
        <v>26/12/2022</v>
      </c>
      <c r="C8" s="19">
        <f>'Data Mentah'!R5</f>
        <v>21</v>
      </c>
      <c r="D8" s="10">
        <f>$B$5</f>
        <v>21</v>
      </c>
      <c r="E8" s="10">
        <f>$E$5</f>
        <v>0</v>
      </c>
    </row>
    <row r="9" spans="1:10" x14ac:dyDescent="0.35">
      <c r="A9" s="6">
        <v>1</v>
      </c>
      <c r="B9" s="19" t="str">
        <f>'Data Mentah'!B6</f>
        <v>02/01/2023</v>
      </c>
      <c r="C9" s="19">
        <f>'Data Mentah'!R6</f>
        <v>74</v>
      </c>
      <c r="D9" s="20">
        <f t="shared" ref="D9:D40" si="0">$E$4*C9+(1-$E$4)*(D8+E8)</f>
        <v>68.7</v>
      </c>
      <c r="E9" s="20">
        <f t="shared" ref="E9:E40" si="1">$H$4*(D9-D8)+(1-$H$4)*E8</f>
        <v>23.85</v>
      </c>
      <c r="F9" s="20">
        <f t="shared" ref="F9:F40" si="2">D8+E8</f>
        <v>21</v>
      </c>
      <c r="G9" s="20">
        <f t="shared" ref="G9:G40" si="3">C9-F9</f>
        <v>53</v>
      </c>
      <c r="H9" s="20">
        <f t="shared" ref="H9:H40" si="4">ABS(G9)</f>
        <v>53</v>
      </c>
      <c r="I9" s="21">
        <f t="shared" ref="I9:I40" si="5">G9^2</f>
        <v>2809</v>
      </c>
      <c r="J9" s="21">
        <f t="shared" ref="J9:J40" si="6">ABS(G9/C9)*100</f>
        <v>71.621621621621628</v>
      </c>
    </row>
    <row r="10" spans="1:10" x14ac:dyDescent="0.35">
      <c r="A10" s="6">
        <v>2</v>
      </c>
      <c r="B10" s="19" t="str">
        <f>'Data Mentah'!B7</f>
        <v>09/01/2023</v>
      </c>
      <c r="C10" s="19">
        <f>'Data Mentah'!R7</f>
        <v>88</v>
      </c>
      <c r="D10" s="20">
        <f t="shared" si="0"/>
        <v>88.454999999999998</v>
      </c>
      <c r="E10" s="20">
        <f t="shared" si="1"/>
        <v>21.802499999999998</v>
      </c>
      <c r="F10" s="20">
        <f t="shared" si="2"/>
        <v>92.550000000000011</v>
      </c>
      <c r="G10" s="20">
        <f t="shared" si="3"/>
        <v>-4.5500000000000114</v>
      </c>
      <c r="H10" s="20">
        <f t="shared" si="4"/>
        <v>4.5500000000000114</v>
      </c>
      <c r="I10" s="21">
        <f t="shared" si="5"/>
        <v>20.702500000000104</v>
      </c>
      <c r="J10" s="21">
        <f t="shared" si="6"/>
        <v>5.1704545454545583</v>
      </c>
    </row>
    <row r="11" spans="1:10" x14ac:dyDescent="0.35">
      <c r="A11" s="6">
        <v>3</v>
      </c>
      <c r="B11" s="19" t="str">
        <f>'Data Mentah'!B8</f>
        <v>16/01/2023</v>
      </c>
      <c r="C11" s="19">
        <f>'Data Mentah'!R8</f>
        <v>103</v>
      </c>
      <c r="D11" s="20">
        <f t="shared" si="0"/>
        <v>103.72575000000001</v>
      </c>
      <c r="E11" s="20">
        <f t="shared" si="1"/>
        <v>18.536625000000001</v>
      </c>
      <c r="F11" s="20">
        <f t="shared" si="2"/>
        <v>110.25749999999999</v>
      </c>
      <c r="G11" s="20">
        <f t="shared" si="3"/>
        <v>-7.2574999999999932</v>
      </c>
      <c r="H11" s="20">
        <f t="shared" si="4"/>
        <v>7.2574999999999932</v>
      </c>
      <c r="I11" s="21">
        <f t="shared" si="5"/>
        <v>52.671306249999901</v>
      </c>
      <c r="J11" s="21">
        <f t="shared" si="6"/>
        <v>7.0461165048543624</v>
      </c>
    </row>
    <row r="12" spans="1:10" x14ac:dyDescent="0.35">
      <c r="A12" s="6">
        <v>4</v>
      </c>
      <c r="B12" s="19" t="str">
        <f>'Data Mentah'!B9</f>
        <v>23/01/2023</v>
      </c>
      <c r="C12" s="19">
        <f>'Data Mentah'!R9</f>
        <v>130</v>
      </c>
      <c r="D12" s="20">
        <f t="shared" si="0"/>
        <v>129.2262375</v>
      </c>
      <c r="E12" s="20">
        <f t="shared" si="1"/>
        <v>22.018556249999996</v>
      </c>
      <c r="F12" s="20">
        <f t="shared" si="2"/>
        <v>122.26237500000001</v>
      </c>
      <c r="G12" s="20">
        <f t="shared" si="3"/>
        <v>7.7376249999999942</v>
      </c>
      <c r="H12" s="20">
        <f t="shared" si="4"/>
        <v>7.7376249999999942</v>
      </c>
      <c r="I12" s="21">
        <f t="shared" si="5"/>
        <v>59.870840640624913</v>
      </c>
      <c r="J12" s="21">
        <f t="shared" si="6"/>
        <v>5.9520192307692259</v>
      </c>
    </row>
    <row r="13" spans="1:10" x14ac:dyDescent="0.35">
      <c r="A13" s="6">
        <v>5</v>
      </c>
      <c r="B13" s="19" t="str">
        <f>'Data Mentah'!B10</f>
        <v>30/01/2023</v>
      </c>
      <c r="C13" s="19">
        <f>'Data Mentah'!R10</f>
        <v>118</v>
      </c>
      <c r="D13" s="20">
        <f t="shared" si="0"/>
        <v>121.324479375</v>
      </c>
      <c r="E13" s="20">
        <f t="shared" si="1"/>
        <v>7.0583990624999977</v>
      </c>
      <c r="F13" s="20">
        <f t="shared" si="2"/>
        <v>151.24479374999999</v>
      </c>
      <c r="G13" s="20">
        <f t="shared" si="3"/>
        <v>-33.244793749999985</v>
      </c>
      <c r="H13" s="20">
        <f t="shared" si="4"/>
        <v>33.244793749999985</v>
      </c>
      <c r="I13" s="21">
        <f t="shared" si="5"/>
        <v>1105.216311480038</v>
      </c>
      <c r="J13" s="21">
        <f t="shared" si="6"/>
        <v>28.173554025423712</v>
      </c>
    </row>
    <row r="14" spans="1:10" x14ac:dyDescent="0.35">
      <c r="A14" s="6">
        <v>6</v>
      </c>
      <c r="B14" s="19" t="str">
        <f>'Data Mentah'!B11</f>
        <v>06/02/2023</v>
      </c>
      <c r="C14" s="19">
        <f>'Data Mentah'!R11</f>
        <v>117</v>
      </c>
      <c r="D14" s="20">
        <f t="shared" si="0"/>
        <v>118.13828784374999</v>
      </c>
      <c r="E14" s="20">
        <f t="shared" si="1"/>
        <v>1.9361037656249973</v>
      </c>
      <c r="F14" s="20">
        <f t="shared" si="2"/>
        <v>128.38287843749998</v>
      </c>
      <c r="G14" s="20">
        <f t="shared" si="3"/>
        <v>-11.382878437499983</v>
      </c>
      <c r="H14" s="20">
        <f t="shared" si="4"/>
        <v>11.382878437499983</v>
      </c>
      <c r="I14" s="21">
        <f t="shared" si="5"/>
        <v>129.56992152290204</v>
      </c>
      <c r="J14" s="21">
        <f t="shared" si="6"/>
        <v>9.7289559294871655</v>
      </c>
    </row>
    <row r="15" spans="1:10" x14ac:dyDescent="0.35">
      <c r="A15" s="6">
        <v>7</v>
      </c>
      <c r="B15" s="19" t="str">
        <f>'Data Mentah'!B12</f>
        <v>13/02/2023</v>
      </c>
      <c r="C15" s="19">
        <f>'Data Mentah'!R12</f>
        <v>113</v>
      </c>
      <c r="D15" s="20">
        <f t="shared" si="0"/>
        <v>113.7074391609375</v>
      </c>
      <c r="E15" s="20">
        <f t="shared" si="1"/>
        <v>-1.2473724585937491</v>
      </c>
      <c r="F15" s="20">
        <f t="shared" si="2"/>
        <v>120.07439160937498</v>
      </c>
      <c r="G15" s="20">
        <f t="shared" si="3"/>
        <v>-7.0743916093749846</v>
      </c>
      <c r="H15" s="20">
        <f t="shared" si="4"/>
        <v>7.0743916093749846</v>
      </c>
      <c r="I15" s="21">
        <f t="shared" si="5"/>
        <v>50.047016642795185</v>
      </c>
      <c r="J15" s="21">
        <f t="shared" si="6"/>
        <v>6.2605235481194548</v>
      </c>
    </row>
    <row r="16" spans="1:10" x14ac:dyDescent="0.35">
      <c r="A16" s="6">
        <v>8</v>
      </c>
      <c r="B16" s="19" t="str">
        <f>'Data Mentah'!B13</f>
        <v>20/02/2023</v>
      </c>
      <c r="C16" s="19">
        <f>'Data Mentah'!R13</f>
        <v>114</v>
      </c>
      <c r="D16" s="20">
        <f t="shared" si="0"/>
        <v>113.84600667023437</v>
      </c>
      <c r="E16" s="20">
        <f t="shared" si="1"/>
        <v>-0.55440247464843617</v>
      </c>
      <c r="F16" s="20">
        <f t="shared" si="2"/>
        <v>112.46006670234375</v>
      </c>
      <c r="G16" s="20">
        <f t="shared" si="3"/>
        <v>1.5399332976562476</v>
      </c>
      <c r="H16" s="20">
        <f t="shared" si="4"/>
        <v>1.5399332976562476</v>
      </c>
      <c r="I16" s="21">
        <f t="shared" si="5"/>
        <v>2.3713945612304452</v>
      </c>
      <c r="J16" s="21">
        <f t="shared" si="6"/>
        <v>1.3508186821546033</v>
      </c>
    </row>
    <row r="17" spans="1:10" x14ac:dyDescent="0.35">
      <c r="A17" s="6">
        <v>9</v>
      </c>
      <c r="B17" s="19" t="str">
        <f>'Data Mentah'!B14</f>
        <v>27/02/2023</v>
      </c>
      <c r="C17" s="19">
        <f>'Data Mentah'!R14</f>
        <v>120</v>
      </c>
      <c r="D17" s="20">
        <f t="shared" si="0"/>
        <v>119.32916041955859</v>
      </c>
      <c r="E17" s="20">
        <f t="shared" si="1"/>
        <v>2.4643756373378904</v>
      </c>
      <c r="F17" s="20">
        <f t="shared" si="2"/>
        <v>113.29160419558593</v>
      </c>
      <c r="G17" s="20">
        <f t="shared" si="3"/>
        <v>6.7083958044140672</v>
      </c>
      <c r="H17" s="20">
        <f t="shared" si="4"/>
        <v>6.7083958044140672</v>
      </c>
      <c r="I17" s="21">
        <f t="shared" si="5"/>
        <v>45.002574268680263</v>
      </c>
      <c r="J17" s="21">
        <f t="shared" si="6"/>
        <v>5.5903298370117227</v>
      </c>
    </row>
    <row r="18" spans="1:10" x14ac:dyDescent="0.35">
      <c r="A18" s="6">
        <v>10</v>
      </c>
      <c r="B18" s="19" t="str">
        <f>'Data Mentah'!B15</f>
        <v>06/03/2023</v>
      </c>
      <c r="C18" s="19">
        <f>'Data Mentah'!R15</f>
        <v>129</v>
      </c>
      <c r="D18" s="20">
        <f t="shared" si="0"/>
        <v>128.27935360568966</v>
      </c>
      <c r="E18" s="20">
        <f t="shared" si="1"/>
        <v>5.7072844117344825</v>
      </c>
      <c r="F18" s="20">
        <f t="shared" si="2"/>
        <v>121.79353605689649</v>
      </c>
      <c r="G18" s="20">
        <f t="shared" si="3"/>
        <v>7.2064639431035147</v>
      </c>
      <c r="H18" s="20">
        <f t="shared" si="4"/>
        <v>7.2064639431035147</v>
      </c>
      <c r="I18" s="21">
        <f t="shared" si="5"/>
        <v>51.933122563251054</v>
      </c>
      <c r="J18" s="21">
        <f t="shared" si="6"/>
        <v>5.5864061574445856</v>
      </c>
    </row>
    <row r="19" spans="1:10" x14ac:dyDescent="0.35">
      <c r="A19" s="6">
        <v>11</v>
      </c>
      <c r="B19" s="19" t="str">
        <f>'Data Mentah'!B16</f>
        <v>13/03/2023</v>
      </c>
      <c r="C19" s="19">
        <f>'Data Mentah'!R16</f>
        <v>122</v>
      </c>
      <c r="D19" s="20">
        <f t="shared" si="0"/>
        <v>123.19866380174241</v>
      </c>
      <c r="E19" s="20">
        <f t="shared" si="1"/>
        <v>0.31329730389361554</v>
      </c>
      <c r="F19" s="20">
        <f t="shared" si="2"/>
        <v>133.98663801742416</v>
      </c>
      <c r="G19" s="20">
        <f t="shared" si="3"/>
        <v>-11.986638017424156</v>
      </c>
      <c r="H19" s="20">
        <f t="shared" si="4"/>
        <v>11.986638017424156</v>
      </c>
      <c r="I19" s="21">
        <f t="shared" si="5"/>
        <v>143.6794909607581</v>
      </c>
      <c r="J19" s="21">
        <f t="shared" si="6"/>
        <v>9.8251131290361933</v>
      </c>
    </row>
    <row r="20" spans="1:10" x14ac:dyDescent="0.35">
      <c r="A20" s="6">
        <v>12</v>
      </c>
      <c r="B20" s="19" t="str">
        <f>'Data Mentah'!B17</f>
        <v>20/03/2023</v>
      </c>
      <c r="C20" s="19">
        <f>'Data Mentah'!R17</f>
        <v>123</v>
      </c>
      <c r="D20" s="20">
        <f t="shared" si="0"/>
        <v>123.05119611056361</v>
      </c>
      <c r="E20" s="20">
        <f t="shared" si="1"/>
        <v>8.291480635740589E-2</v>
      </c>
      <c r="F20" s="20">
        <f t="shared" si="2"/>
        <v>123.51196110563603</v>
      </c>
      <c r="G20" s="20">
        <f t="shared" si="3"/>
        <v>-0.5119611056360327</v>
      </c>
      <c r="H20" s="20">
        <f t="shared" si="4"/>
        <v>0.5119611056360327</v>
      </c>
      <c r="I20" s="21">
        <f t="shared" si="5"/>
        <v>0.26210417368406902</v>
      </c>
      <c r="J20" s="21">
        <f t="shared" si="6"/>
        <v>0.41622854116750629</v>
      </c>
    </row>
    <row r="21" spans="1:10" x14ac:dyDescent="0.35">
      <c r="A21" s="6">
        <v>13</v>
      </c>
      <c r="B21" s="19" t="str">
        <f>'Data Mentah'!B18</f>
        <v>27/03/2023</v>
      </c>
      <c r="C21" s="19">
        <f>'Data Mentah'!R18</f>
        <v>123</v>
      </c>
      <c r="D21" s="20">
        <f t="shared" si="0"/>
        <v>123.01341109169211</v>
      </c>
      <c r="E21" s="20">
        <f t="shared" si="1"/>
        <v>2.2564893742951453E-2</v>
      </c>
      <c r="F21" s="20">
        <f t="shared" si="2"/>
        <v>123.13411091692102</v>
      </c>
      <c r="G21" s="20">
        <f t="shared" si="3"/>
        <v>-0.13411091692101706</v>
      </c>
      <c r="H21" s="20">
        <f t="shared" si="4"/>
        <v>0.13411091692101706</v>
      </c>
      <c r="I21" s="21">
        <f t="shared" si="5"/>
        <v>1.7985738037395942E-2</v>
      </c>
      <c r="J21" s="21">
        <f t="shared" si="6"/>
        <v>0.10903326578944478</v>
      </c>
    </row>
    <row r="22" spans="1:10" x14ac:dyDescent="0.35">
      <c r="A22" s="6">
        <v>14</v>
      </c>
      <c r="B22" s="19" t="str">
        <f>'Data Mentah'!B19</f>
        <v>03/04/2023</v>
      </c>
      <c r="C22" s="19">
        <f>'Data Mentah'!R19</f>
        <v>124</v>
      </c>
      <c r="D22" s="20">
        <f t="shared" si="0"/>
        <v>123.90359759854351</v>
      </c>
      <c r="E22" s="20">
        <f t="shared" si="1"/>
        <v>0.45637570029717922</v>
      </c>
      <c r="F22" s="20">
        <f t="shared" si="2"/>
        <v>123.03597598543506</v>
      </c>
      <c r="G22" s="20">
        <f t="shared" si="3"/>
        <v>0.96402401456494147</v>
      </c>
      <c r="H22" s="20">
        <f t="shared" si="4"/>
        <v>0.96402401456494147</v>
      </c>
      <c r="I22" s="21">
        <f t="shared" si="5"/>
        <v>0.92934230065790646</v>
      </c>
      <c r="J22" s="21">
        <f t="shared" si="6"/>
        <v>0.77743872142333992</v>
      </c>
    </row>
    <row r="23" spans="1:10" x14ac:dyDescent="0.35">
      <c r="A23" s="6">
        <v>15</v>
      </c>
      <c r="B23" s="19" t="str">
        <f>'Data Mentah'!B20</f>
        <v>10/04/2023</v>
      </c>
      <c r="C23" s="19">
        <f>'Data Mentah'!R20</f>
        <v>130</v>
      </c>
      <c r="D23" s="20">
        <f t="shared" si="0"/>
        <v>129.43599732988406</v>
      </c>
      <c r="E23" s="20">
        <f t="shared" si="1"/>
        <v>2.994387715818863</v>
      </c>
      <c r="F23" s="20">
        <f t="shared" si="2"/>
        <v>124.35997329884069</v>
      </c>
      <c r="G23" s="20">
        <f t="shared" si="3"/>
        <v>5.6400267011593144</v>
      </c>
      <c r="H23" s="20">
        <f t="shared" si="4"/>
        <v>5.6400267011593144</v>
      </c>
      <c r="I23" s="21">
        <f t="shared" si="5"/>
        <v>31.809901189790018</v>
      </c>
      <c r="J23" s="21">
        <f t="shared" si="6"/>
        <v>4.3384820778148567</v>
      </c>
    </row>
    <row r="24" spans="1:10" x14ac:dyDescent="0.35">
      <c r="A24" s="6">
        <v>16</v>
      </c>
      <c r="B24" s="19" t="str">
        <f>'Data Mentah'!B21</f>
        <v>17/04/2023</v>
      </c>
      <c r="C24" s="19">
        <f>'Data Mentah'!R21</f>
        <v>121</v>
      </c>
      <c r="D24" s="20">
        <f t="shared" si="0"/>
        <v>122.1430385045703</v>
      </c>
      <c r="E24" s="20">
        <f t="shared" si="1"/>
        <v>-2.1492855547474488</v>
      </c>
      <c r="F24" s="20">
        <f t="shared" si="2"/>
        <v>132.43038504570293</v>
      </c>
      <c r="G24" s="20">
        <f t="shared" si="3"/>
        <v>-11.430385045702934</v>
      </c>
      <c r="H24" s="20">
        <f t="shared" si="4"/>
        <v>11.430385045702934</v>
      </c>
      <c r="I24" s="21">
        <f t="shared" si="5"/>
        <v>130.65370229302926</v>
      </c>
      <c r="J24" s="21">
        <f t="shared" si="6"/>
        <v>9.4465992113247399</v>
      </c>
    </row>
    <row r="25" spans="1:10" x14ac:dyDescent="0.35">
      <c r="A25" s="6">
        <v>17</v>
      </c>
      <c r="B25" s="19" t="str">
        <f>'Data Mentah'!B22</f>
        <v>24/04/2023</v>
      </c>
      <c r="C25" s="19">
        <f>'Data Mentah'!R22</f>
        <v>127</v>
      </c>
      <c r="D25" s="20">
        <f t="shared" si="0"/>
        <v>126.29937529498228</v>
      </c>
      <c r="E25" s="20">
        <f t="shared" si="1"/>
        <v>1.0035256178322678</v>
      </c>
      <c r="F25" s="20">
        <f t="shared" si="2"/>
        <v>119.99375294982285</v>
      </c>
      <c r="G25" s="20">
        <f t="shared" si="3"/>
        <v>7.0062470501771514</v>
      </c>
      <c r="H25" s="20">
        <f t="shared" si="4"/>
        <v>7.0062470501771514</v>
      </c>
      <c r="I25" s="21">
        <f t="shared" si="5"/>
        <v>49.087497728116034</v>
      </c>
      <c r="J25" s="21">
        <f t="shared" si="6"/>
        <v>5.5167299607694105</v>
      </c>
    </row>
    <row r="26" spans="1:10" x14ac:dyDescent="0.35">
      <c r="A26" s="6">
        <v>18</v>
      </c>
      <c r="B26" s="19" t="str">
        <f>'Data Mentah'!B23</f>
        <v>01/05/2023</v>
      </c>
      <c r="C26" s="19">
        <f>'Data Mentah'!R23</f>
        <v>123</v>
      </c>
      <c r="D26" s="20">
        <f t="shared" si="0"/>
        <v>123.43029009128145</v>
      </c>
      <c r="E26" s="20">
        <f t="shared" si="1"/>
        <v>-0.93277979293428315</v>
      </c>
      <c r="F26" s="20">
        <f t="shared" si="2"/>
        <v>127.30290091281455</v>
      </c>
      <c r="G26" s="20">
        <f t="shared" si="3"/>
        <v>-4.3029009128145503</v>
      </c>
      <c r="H26" s="20">
        <f t="shared" si="4"/>
        <v>4.3029009128145503</v>
      </c>
      <c r="I26" s="21">
        <f t="shared" si="5"/>
        <v>18.514956265500292</v>
      </c>
      <c r="J26" s="21">
        <f t="shared" si="6"/>
        <v>3.4982934250524802</v>
      </c>
    </row>
    <row r="27" spans="1:10" x14ac:dyDescent="0.35">
      <c r="A27" s="6">
        <v>19</v>
      </c>
      <c r="B27" s="19" t="str">
        <f>'Data Mentah'!B24</f>
        <v>08/05/2023</v>
      </c>
      <c r="C27" s="19">
        <f>'Data Mentah'!R24</f>
        <v>117</v>
      </c>
      <c r="D27" s="20">
        <f t="shared" si="0"/>
        <v>117.54975102983471</v>
      </c>
      <c r="E27" s="20">
        <f t="shared" si="1"/>
        <v>-3.4066594271905117</v>
      </c>
      <c r="F27" s="20">
        <f t="shared" si="2"/>
        <v>122.49751029834717</v>
      </c>
      <c r="G27" s="20">
        <f t="shared" si="3"/>
        <v>-5.4975102983471658</v>
      </c>
      <c r="H27" s="20">
        <f t="shared" si="4"/>
        <v>5.4975102983471658</v>
      </c>
      <c r="I27" s="21">
        <f t="shared" si="5"/>
        <v>30.222619480433142</v>
      </c>
      <c r="J27" s="21">
        <f t="shared" si="6"/>
        <v>4.6987267507240738</v>
      </c>
    </row>
    <row r="28" spans="1:10" x14ac:dyDescent="0.35">
      <c r="A28" s="6">
        <v>20</v>
      </c>
      <c r="B28" s="19" t="str">
        <f>'Data Mentah'!B25</f>
        <v>15/05/2023</v>
      </c>
      <c r="C28" s="19">
        <f>'Data Mentah'!R25</f>
        <v>121</v>
      </c>
      <c r="D28" s="20">
        <f t="shared" si="0"/>
        <v>120.31430916026443</v>
      </c>
      <c r="E28" s="20">
        <f t="shared" si="1"/>
        <v>-0.3210506483803961</v>
      </c>
      <c r="F28" s="20">
        <f t="shared" si="2"/>
        <v>114.1430916026442</v>
      </c>
      <c r="G28" s="20">
        <f t="shared" si="3"/>
        <v>6.8569083973557952</v>
      </c>
      <c r="H28" s="20">
        <f t="shared" si="4"/>
        <v>6.8569083973557952</v>
      </c>
      <c r="I28" s="21">
        <f t="shared" si="5"/>
        <v>47.017192769728418</v>
      </c>
      <c r="J28" s="21">
        <f t="shared" si="6"/>
        <v>5.6668664440956986</v>
      </c>
    </row>
    <row r="29" spans="1:10" x14ac:dyDescent="0.35">
      <c r="A29" s="6">
        <v>21</v>
      </c>
      <c r="B29" s="19" t="str">
        <f>'Data Mentah'!B26</f>
        <v>22/05/2023</v>
      </c>
      <c r="C29" s="19">
        <f>'Data Mentah'!R26</f>
        <v>108</v>
      </c>
      <c r="D29" s="20">
        <f t="shared" si="0"/>
        <v>109.19932585118841</v>
      </c>
      <c r="E29" s="20">
        <f t="shared" si="1"/>
        <v>-5.71801697872821</v>
      </c>
      <c r="F29" s="20">
        <f t="shared" si="2"/>
        <v>119.99325851188404</v>
      </c>
      <c r="G29" s="20">
        <f t="shared" si="3"/>
        <v>-11.993258511884036</v>
      </c>
      <c r="H29" s="20">
        <f t="shared" si="4"/>
        <v>11.993258511884036</v>
      </c>
      <c r="I29" s="21">
        <f t="shared" si="5"/>
        <v>143.83824973287889</v>
      </c>
      <c r="J29" s="21">
        <f t="shared" si="6"/>
        <v>11.104868992485219</v>
      </c>
    </row>
    <row r="30" spans="1:10" x14ac:dyDescent="0.35">
      <c r="A30" s="6">
        <v>22</v>
      </c>
      <c r="B30" s="19" t="str">
        <f>'Data Mentah'!B27</f>
        <v>29/05/2023</v>
      </c>
      <c r="C30" s="19">
        <f>'Data Mentah'!R27</f>
        <v>102</v>
      </c>
      <c r="D30" s="20">
        <f t="shared" si="0"/>
        <v>102.14813088724601</v>
      </c>
      <c r="E30" s="20">
        <f t="shared" si="1"/>
        <v>-6.3846059713353016</v>
      </c>
      <c r="F30" s="20">
        <f t="shared" si="2"/>
        <v>103.48130887246019</v>
      </c>
      <c r="G30" s="20">
        <f t="shared" si="3"/>
        <v>-1.4813088724601897</v>
      </c>
      <c r="H30" s="20">
        <f t="shared" si="4"/>
        <v>1.4813088724601897</v>
      </c>
      <c r="I30" s="21">
        <f t="shared" si="5"/>
        <v>2.1942759756292785</v>
      </c>
      <c r="J30" s="21">
        <f t="shared" si="6"/>
        <v>1.4522636004511664</v>
      </c>
    </row>
    <row r="31" spans="1:10" x14ac:dyDescent="0.35">
      <c r="A31" s="6">
        <v>23</v>
      </c>
      <c r="B31" s="19" t="str">
        <f>'Data Mentah'!B28</f>
        <v>05/06/2023</v>
      </c>
      <c r="C31" s="19">
        <f>'Data Mentah'!R28</f>
        <v>99</v>
      </c>
      <c r="D31" s="20">
        <f t="shared" si="0"/>
        <v>98.676352491591075</v>
      </c>
      <c r="E31" s="20">
        <f t="shared" si="1"/>
        <v>-4.9281921834951188</v>
      </c>
      <c r="F31" s="20">
        <f t="shared" si="2"/>
        <v>95.763524915910708</v>
      </c>
      <c r="G31" s="20">
        <f t="shared" si="3"/>
        <v>3.2364750840892924</v>
      </c>
      <c r="H31" s="20">
        <f t="shared" si="4"/>
        <v>3.2364750840892924</v>
      </c>
      <c r="I31" s="21">
        <f t="shared" si="5"/>
        <v>10.474770969930793</v>
      </c>
      <c r="J31" s="21">
        <f t="shared" si="6"/>
        <v>3.2691667516053458</v>
      </c>
    </row>
    <row r="32" spans="1:10" x14ac:dyDescent="0.35">
      <c r="A32" s="6">
        <v>24</v>
      </c>
      <c r="B32" s="19" t="str">
        <f>'Data Mentah'!B29</f>
        <v>12/06/2023</v>
      </c>
      <c r="C32" s="19">
        <f>'Data Mentah'!R29</f>
        <v>102</v>
      </c>
      <c r="D32" s="20">
        <f t="shared" si="0"/>
        <v>101.17481603080959</v>
      </c>
      <c r="E32" s="20">
        <f t="shared" si="1"/>
        <v>-1.2148643221382995</v>
      </c>
      <c r="F32" s="20">
        <f t="shared" si="2"/>
        <v>93.748160308095962</v>
      </c>
      <c r="G32" s="20">
        <f t="shared" si="3"/>
        <v>8.2518396919040384</v>
      </c>
      <c r="H32" s="20">
        <f t="shared" si="4"/>
        <v>8.2518396919040384</v>
      </c>
      <c r="I32" s="21">
        <f t="shared" si="5"/>
        <v>68.092858300882938</v>
      </c>
      <c r="J32" s="21">
        <f t="shared" si="6"/>
        <v>8.0900389136314104</v>
      </c>
    </row>
    <row r="33" spans="1:10" x14ac:dyDescent="0.35">
      <c r="A33" s="6">
        <v>25</v>
      </c>
      <c r="B33" s="19" t="str">
        <f>'Data Mentah'!B30</f>
        <v>19/06/2023</v>
      </c>
      <c r="C33" s="19">
        <f>'Data Mentah'!R30</f>
        <v>109</v>
      </c>
      <c r="D33" s="20">
        <f t="shared" si="0"/>
        <v>108.09599517086714</v>
      </c>
      <c r="E33" s="20">
        <f t="shared" si="1"/>
        <v>2.8531574089596234</v>
      </c>
      <c r="F33" s="20">
        <f t="shared" si="2"/>
        <v>99.959951708671298</v>
      </c>
      <c r="G33" s="20">
        <f t="shared" si="3"/>
        <v>9.0400482913287021</v>
      </c>
      <c r="H33" s="20">
        <f t="shared" si="4"/>
        <v>9.0400482913287021</v>
      </c>
      <c r="I33" s="21">
        <f t="shared" si="5"/>
        <v>81.722473109554983</v>
      </c>
      <c r="J33" s="21">
        <f t="shared" si="6"/>
        <v>8.2936222856226625</v>
      </c>
    </row>
    <row r="34" spans="1:10" x14ac:dyDescent="0.35">
      <c r="A34" s="6">
        <v>26</v>
      </c>
      <c r="B34" s="19" t="str">
        <f>'Data Mentah'!B31</f>
        <v>26/06/2023</v>
      </c>
      <c r="C34" s="19">
        <f>'Data Mentah'!R31</f>
        <v>109</v>
      </c>
      <c r="D34" s="20">
        <f t="shared" si="0"/>
        <v>109.19491525798269</v>
      </c>
      <c r="E34" s="20">
        <f t="shared" si="1"/>
        <v>1.9760387480375841</v>
      </c>
      <c r="F34" s="20">
        <f t="shared" si="2"/>
        <v>110.94915257982676</v>
      </c>
      <c r="G34" s="20">
        <f t="shared" si="3"/>
        <v>-1.9491525798267588</v>
      </c>
      <c r="H34" s="20">
        <f t="shared" si="4"/>
        <v>1.9491525798267588</v>
      </c>
      <c r="I34" s="21">
        <f t="shared" si="5"/>
        <v>3.7991957794453093</v>
      </c>
      <c r="J34" s="21">
        <f t="shared" si="6"/>
        <v>1.7882133759878522</v>
      </c>
    </row>
    <row r="35" spans="1:10" x14ac:dyDescent="0.35">
      <c r="A35" s="6">
        <v>27</v>
      </c>
      <c r="B35" s="19" t="str">
        <f>'Data Mentah'!B32</f>
        <v>03/07/2023</v>
      </c>
      <c r="C35" s="19">
        <f>'Data Mentah'!R32</f>
        <v>113</v>
      </c>
      <c r="D35" s="20">
        <f t="shared" si="0"/>
        <v>112.81709540060203</v>
      </c>
      <c r="E35" s="20">
        <f t="shared" si="1"/>
        <v>2.7991094453284631</v>
      </c>
      <c r="F35" s="20">
        <f t="shared" si="2"/>
        <v>111.17095400602027</v>
      </c>
      <c r="G35" s="20">
        <f t="shared" si="3"/>
        <v>1.829045993979733</v>
      </c>
      <c r="H35" s="20">
        <f t="shared" si="4"/>
        <v>1.829045993979733</v>
      </c>
      <c r="I35" s="21">
        <f t="shared" si="5"/>
        <v>3.3454092480933095</v>
      </c>
      <c r="J35" s="21">
        <f t="shared" si="6"/>
        <v>1.6186247734333921</v>
      </c>
    </row>
    <row r="36" spans="1:10" x14ac:dyDescent="0.35">
      <c r="A36" s="6">
        <v>28</v>
      </c>
      <c r="B36" s="19" t="str">
        <f>'Data Mentah'!B33</f>
        <v>10/07/2023</v>
      </c>
      <c r="C36" s="19">
        <f>'Data Mentah'!R33</f>
        <v>113</v>
      </c>
      <c r="D36" s="20">
        <f t="shared" si="0"/>
        <v>113.26162048459305</v>
      </c>
      <c r="E36" s="20">
        <f t="shared" si="1"/>
        <v>1.6218172646597437</v>
      </c>
      <c r="F36" s="20">
        <f t="shared" si="2"/>
        <v>115.6162048459305</v>
      </c>
      <c r="G36" s="20">
        <f t="shared" si="3"/>
        <v>-2.616204845930497</v>
      </c>
      <c r="H36" s="20">
        <f t="shared" si="4"/>
        <v>2.616204845930497</v>
      </c>
      <c r="I36" s="21">
        <f t="shared" si="5"/>
        <v>6.8445277958702153</v>
      </c>
      <c r="J36" s="21">
        <f t="shared" si="6"/>
        <v>2.3152255273721214</v>
      </c>
    </row>
    <row r="37" spans="1:10" x14ac:dyDescent="0.35">
      <c r="A37" s="6">
        <v>29</v>
      </c>
      <c r="B37" s="19" t="str">
        <f>'Data Mentah'!B34</f>
        <v>17/07/2023</v>
      </c>
      <c r="C37" s="19">
        <f>'Data Mentah'!R34</f>
        <v>113</v>
      </c>
      <c r="D37" s="20">
        <f t="shared" si="0"/>
        <v>113.18834377492527</v>
      </c>
      <c r="E37" s="20">
        <f t="shared" si="1"/>
        <v>0.77427027749598165</v>
      </c>
      <c r="F37" s="20">
        <f t="shared" si="2"/>
        <v>114.88343774925279</v>
      </c>
      <c r="G37" s="20">
        <f t="shared" si="3"/>
        <v>-1.8834377492527921</v>
      </c>
      <c r="H37" s="20">
        <f t="shared" si="4"/>
        <v>1.8834377492527921</v>
      </c>
      <c r="I37" s="21">
        <f t="shared" si="5"/>
        <v>3.5473377553104233</v>
      </c>
      <c r="J37" s="21">
        <f t="shared" si="6"/>
        <v>1.6667590701352142</v>
      </c>
    </row>
    <row r="38" spans="1:10" x14ac:dyDescent="0.35">
      <c r="A38" s="6">
        <v>30</v>
      </c>
      <c r="B38" s="19" t="str">
        <f>'Data Mentah'!B35</f>
        <v>24/07/2023</v>
      </c>
      <c r="C38" s="19">
        <f>'Data Mentah'!R35</f>
        <v>116</v>
      </c>
      <c r="D38" s="20">
        <f t="shared" si="0"/>
        <v>115.79626140524213</v>
      </c>
      <c r="E38" s="20">
        <f t="shared" si="1"/>
        <v>1.691093953906422</v>
      </c>
      <c r="F38" s="20">
        <f t="shared" si="2"/>
        <v>113.96261405242126</v>
      </c>
      <c r="G38" s="20">
        <f t="shared" si="3"/>
        <v>2.0373859475787413</v>
      </c>
      <c r="H38" s="20">
        <f t="shared" si="4"/>
        <v>2.0373859475787413</v>
      </c>
      <c r="I38" s="21">
        <f t="shared" si="5"/>
        <v>4.1509414993913252</v>
      </c>
      <c r="J38" s="21">
        <f t="shared" si="6"/>
        <v>1.7563671961885698</v>
      </c>
    </row>
    <row r="39" spans="1:10" x14ac:dyDescent="0.35">
      <c r="A39" s="6">
        <v>31</v>
      </c>
      <c r="B39" s="19" t="str">
        <f>'Data Mentah'!B36</f>
        <v>31/07/2023</v>
      </c>
      <c r="C39" s="19">
        <f>'Data Mentah'!R36</f>
        <v>110</v>
      </c>
      <c r="D39" s="20">
        <f t="shared" si="0"/>
        <v>110.74873553591485</v>
      </c>
      <c r="E39" s="20">
        <f t="shared" si="1"/>
        <v>-1.678215957710433</v>
      </c>
      <c r="F39" s="20">
        <f t="shared" si="2"/>
        <v>117.48735535914855</v>
      </c>
      <c r="G39" s="20">
        <f t="shared" si="3"/>
        <v>-7.4873553591485518</v>
      </c>
      <c r="H39" s="20">
        <f t="shared" si="4"/>
        <v>7.4873553591485518</v>
      </c>
      <c r="I39" s="21">
        <f t="shared" si="5"/>
        <v>56.06049027417054</v>
      </c>
      <c r="J39" s="21">
        <f t="shared" si="6"/>
        <v>6.8066866901350469</v>
      </c>
    </row>
    <row r="40" spans="1:10" x14ac:dyDescent="0.35">
      <c r="A40" s="6">
        <v>32</v>
      </c>
      <c r="B40" s="19" t="str">
        <f>'Data Mentah'!B37</f>
        <v>07/08/2023</v>
      </c>
      <c r="C40" s="19">
        <f>'Data Mentah'!R37</f>
        <v>112</v>
      </c>
      <c r="D40" s="20">
        <f t="shared" si="0"/>
        <v>111.70705195782044</v>
      </c>
      <c r="E40" s="20">
        <f t="shared" si="1"/>
        <v>-0.35994976790241995</v>
      </c>
      <c r="F40" s="20">
        <f t="shared" si="2"/>
        <v>109.07051957820441</v>
      </c>
      <c r="G40" s="20">
        <f t="shared" si="3"/>
        <v>2.9294804217955885</v>
      </c>
      <c r="H40" s="20">
        <f t="shared" si="4"/>
        <v>2.9294804217955885</v>
      </c>
      <c r="I40" s="21">
        <f t="shared" si="5"/>
        <v>8.5818555416836588</v>
      </c>
      <c r="J40" s="21">
        <f t="shared" si="6"/>
        <v>2.615607519460347</v>
      </c>
    </row>
    <row r="41" spans="1:10" x14ac:dyDescent="0.35">
      <c r="A41" s="6">
        <v>33</v>
      </c>
      <c r="B41" s="19" t="str">
        <f>'Data Mentah'!B38</f>
        <v>14/08/2023</v>
      </c>
      <c r="C41" s="19">
        <f>'Data Mentah'!R38</f>
        <v>117</v>
      </c>
      <c r="D41" s="20">
        <f t="shared" ref="D41:D72" si="7">$E$4*C41+(1-$E$4)*(D40+E40)</f>
        <v>116.4347102189918</v>
      </c>
      <c r="E41" s="20">
        <f t="shared" ref="E41:E72" si="8">$H$4*(D41-D40)+(1-$H$4)*E40</f>
        <v>2.1838542466344681</v>
      </c>
      <c r="F41" s="20">
        <f t="shared" ref="F41:F72" si="9">D40+E40</f>
        <v>111.34710218991802</v>
      </c>
      <c r="G41" s="20">
        <f t="shared" ref="G41:G72" si="10">C41-F41</f>
        <v>5.6528978100819813</v>
      </c>
      <c r="H41" s="20">
        <f t="shared" ref="H41:H72" si="11">ABS(G41)</f>
        <v>5.6528978100819813</v>
      </c>
      <c r="I41" s="21">
        <f t="shared" ref="I41:I72" si="12">G41^2</f>
        <v>31.955253651229661</v>
      </c>
      <c r="J41" s="21">
        <f t="shared" ref="J41:J72" si="13">ABS(G41/C41)*100</f>
        <v>4.8315365898136591</v>
      </c>
    </row>
    <row r="42" spans="1:10" x14ac:dyDescent="0.35">
      <c r="A42" s="6">
        <v>34</v>
      </c>
      <c r="B42" s="19" t="str">
        <f>'Data Mentah'!B39</f>
        <v>21/08/2023</v>
      </c>
      <c r="C42" s="19">
        <f>'Data Mentah'!R39</f>
        <v>115</v>
      </c>
      <c r="D42" s="20">
        <f t="shared" si="7"/>
        <v>115.36185644656263</v>
      </c>
      <c r="E42" s="20">
        <f t="shared" si="8"/>
        <v>0.55550023710264917</v>
      </c>
      <c r="F42" s="20">
        <f t="shared" si="9"/>
        <v>118.61856446562626</v>
      </c>
      <c r="G42" s="20">
        <f t="shared" si="10"/>
        <v>-3.6185644656262639</v>
      </c>
      <c r="H42" s="20">
        <f t="shared" si="11"/>
        <v>3.6185644656262639</v>
      </c>
      <c r="I42" s="21">
        <f t="shared" si="12"/>
        <v>13.094008791893089</v>
      </c>
      <c r="J42" s="21">
        <f t="shared" si="13"/>
        <v>3.1465777961967514</v>
      </c>
    </row>
    <row r="43" spans="1:10" x14ac:dyDescent="0.35">
      <c r="A43" s="6">
        <v>35</v>
      </c>
      <c r="B43" s="19" t="str">
        <f>'Data Mentah'!B40</f>
        <v>28/08/2023</v>
      </c>
      <c r="C43" s="19">
        <f>'Data Mentah'!R40</f>
        <v>123</v>
      </c>
      <c r="D43" s="20">
        <f t="shared" si="7"/>
        <v>122.29173566836653</v>
      </c>
      <c r="E43" s="20">
        <f t="shared" si="8"/>
        <v>3.742689729453275</v>
      </c>
      <c r="F43" s="20">
        <f t="shared" si="9"/>
        <v>115.91735668366528</v>
      </c>
      <c r="G43" s="20">
        <f t="shared" si="10"/>
        <v>7.0826433163347247</v>
      </c>
      <c r="H43" s="20">
        <f t="shared" si="11"/>
        <v>7.0826433163347247</v>
      </c>
      <c r="I43" s="21">
        <f t="shared" si="12"/>
        <v>50.163836346420943</v>
      </c>
      <c r="J43" s="21">
        <f t="shared" si="13"/>
        <v>5.7582465986461173</v>
      </c>
    </row>
    <row r="44" spans="1:10" x14ac:dyDescent="0.35">
      <c r="A44" s="6">
        <v>36</v>
      </c>
      <c r="B44" s="19" t="str">
        <f>'Data Mentah'!B41</f>
        <v>04/09/2023</v>
      </c>
      <c r="C44" s="19">
        <f>'Data Mentah'!R41</f>
        <v>124</v>
      </c>
      <c r="D44" s="20">
        <f t="shared" si="7"/>
        <v>124.20344253978199</v>
      </c>
      <c r="E44" s="20">
        <f t="shared" si="8"/>
        <v>2.8271983004343682</v>
      </c>
      <c r="F44" s="20">
        <f t="shared" si="9"/>
        <v>126.0344253978198</v>
      </c>
      <c r="G44" s="20">
        <f t="shared" si="10"/>
        <v>-2.0344253978198026</v>
      </c>
      <c r="H44" s="20">
        <f t="shared" si="11"/>
        <v>2.0344253978198026</v>
      </c>
      <c r="I44" s="21">
        <f t="shared" si="12"/>
        <v>4.1388866992942619</v>
      </c>
      <c r="J44" s="21">
        <f t="shared" si="13"/>
        <v>1.6406656434030669</v>
      </c>
    </row>
    <row r="45" spans="1:10" x14ac:dyDescent="0.35">
      <c r="A45" s="6">
        <v>37</v>
      </c>
      <c r="B45" s="19" t="str">
        <f>'Data Mentah'!B42</f>
        <v>11/09/2023</v>
      </c>
      <c r="C45" s="19">
        <f>'Data Mentah'!R42</f>
        <v>127</v>
      </c>
      <c r="D45" s="20">
        <f t="shared" si="7"/>
        <v>127.00306408402163</v>
      </c>
      <c r="E45" s="20">
        <f t="shared" si="8"/>
        <v>2.813409922337005</v>
      </c>
      <c r="F45" s="20">
        <f t="shared" si="9"/>
        <v>127.03064084021636</v>
      </c>
      <c r="G45" s="20">
        <f t="shared" si="10"/>
        <v>-3.064084021636404E-2</v>
      </c>
      <c r="H45" s="20">
        <f t="shared" si="11"/>
        <v>3.064084021636404E-2</v>
      </c>
      <c r="I45" s="21">
        <f t="shared" si="12"/>
        <v>9.388610891647519E-4</v>
      </c>
      <c r="J45" s="21">
        <f t="shared" si="13"/>
        <v>2.4126645839656725E-2</v>
      </c>
    </row>
    <row r="46" spans="1:10" x14ac:dyDescent="0.35">
      <c r="A46" s="6">
        <v>38</v>
      </c>
      <c r="B46" s="19" t="str">
        <f>'Data Mentah'!B43</f>
        <v>18/09/2023</v>
      </c>
      <c r="C46" s="19">
        <f>'Data Mentah'!R43</f>
        <v>133</v>
      </c>
      <c r="D46" s="20">
        <f t="shared" si="7"/>
        <v>132.68164740063585</v>
      </c>
      <c r="E46" s="20">
        <f t="shared" si="8"/>
        <v>4.2459966194756138</v>
      </c>
      <c r="F46" s="20">
        <f t="shared" si="9"/>
        <v>129.81647400635865</v>
      </c>
      <c r="G46" s="20">
        <f t="shared" si="10"/>
        <v>3.1835259936413536</v>
      </c>
      <c r="H46" s="20">
        <f t="shared" si="11"/>
        <v>3.1835259936413536</v>
      </c>
      <c r="I46" s="21">
        <f t="shared" si="12"/>
        <v>10.134837752190167</v>
      </c>
      <c r="J46" s="21">
        <f t="shared" si="13"/>
        <v>2.3936285666476342</v>
      </c>
    </row>
    <row r="47" spans="1:10" x14ac:dyDescent="0.35">
      <c r="A47" s="6">
        <v>39</v>
      </c>
      <c r="B47" s="19" t="str">
        <f>'Data Mentah'!B44</f>
        <v>25/09/2023</v>
      </c>
      <c r="C47" s="19">
        <f>'Data Mentah'!R44</f>
        <v>133</v>
      </c>
      <c r="D47" s="20">
        <f t="shared" si="7"/>
        <v>133.39276440201115</v>
      </c>
      <c r="E47" s="20">
        <f t="shared" si="8"/>
        <v>2.4785568104254567</v>
      </c>
      <c r="F47" s="20">
        <f t="shared" si="9"/>
        <v>136.92764402011147</v>
      </c>
      <c r="G47" s="20">
        <f t="shared" si="10"/>
        <v>-3.9276440201114724</v>
      </c>
      <c r="H47" s="20">
        <f t="shared" si="11"/>
        <v>3.9276440201114724</v>
      </c>
      <c r="I47" s="21">
        <f t="shared" si="12"/>
        <v>15.426387548717408</v>
      </c>
      <c r="J47" s="21">
        <f t="shared" si="13"/>
        <v>2.9531158045950923</v>
      </c>
    </row>
    <row r="48" spans="1:10" x14ac:dyDescent="0.35">
      <c r="A48" s="6">
        <v>40</v>
      </c>
      <c r="B48" s="19" t="str">
        <f>'Data Mentah'!B45</f>
        <v>02/10/2023</v>
      </c>
      <c r="C48" s="19">
        <f>'Data Mentah'!R45</f>
        <v>132</v>
      </c>
      <c r="D48" s="20">
        <f t="shared" si="7"/>
        <v>132.38713212124367</v>
      </c>
      <c r="E48" s="20">
        <f t="shared" si="8"/>
        <v>0.73646226482898536</v>
      </c>
      <c r="F48" s="20">
        <f t="shared" si="9"/>
        <v>135.87132121243661</v>
      </c>
      <c r="G48" s="20">
        <f t="shared" si="10"/>
        <v>-3.8713212124366123</v>
      </c>
      <c r="H48" s="20">
        <f t="shared" si="11"/>
        <v>3.8713212124366123</v>
      </c>
      <c r="I48" s="21">
        <f t="shared" si="12"/>
        <v>14.987127929861682</v>
      </c>
      <c r="J48" s="21">
        <f t="shared" si="13"/>
        <v>2.9328191003307671</v>
      </c>
    </row>
    <row r="49" spans="1:10" x14ac:dyDescent="0.35">
      <c r="A49" s="6">
        <v>41</v>
      </c>
      <c r="B49" s="19" t="str">
        <f>'Data Mentah'!B46</f>
        <v>09/10/2023</v>
      </c>
      <c r="C49" s="19">
        <f>'Data Mentah'!R46</f>
        <v>126</v>
      </c>
      <c r="D49" s="20">
        <f t="shared" si="7"/>
        <v>126.71235943860727</v>
      </c>
      <c r="E49" s="20">
        <f t="shared" si="8"/>
        <v>-2.4691552089037083</v>
      </c>
      <c r="F49" s="20">
        <f t="shared" si="9"/>
        <v>133.12359438607265</v>
      </c>
      <c r="G49" s="20">
        <f t="shared" si="10"/>
        <v>-7.1235943860726536</v>
      </c>
      <c r="H49" s="20">
        <f t="shared" si="11"/>
        <v>7.1235943860726536</v>
      </c>
      <c r="I49" s="21">
        <f t="shared" si="12"/>
        <v>50.745596977285828</v>
      </c>
      <c r="J49" s="21">
        <f t="shared" si="13"/>
        <v>5.6536463381528996</v>
      </c>
    </row>
    <row r="50" spans="1:10" x14ac:dyDescent="0.35">
      <c r="A50" s="6">
        <v>42</v>
      </c>
      <c r="B50" s="19" t="str">
        <f>'Data Mentah'!B47</f>
        <v>16/10/2023</v>
      </c>
      <c r="C50" s="19">
        <f>'Data Mentah'!R47</f>
        <v>130</v>
      </c>
      <c r="D50" s="20">
        <f t="shared" si="7"/>
        <v>129.42432042297034</v>
      </c>
      <c r="E50" s="20">
        <f t="shared" si="8"/>
        <v>0.12140288772968288</v>
      </c>
      <c r="F50" s="20">
        <f t="shared" si="9"/>
        <v>124.24320422970355</v>
      </c>
      <c r="G50" s="20">
        <f t="shared" si="10"/>
        <v>5.7567957702964492</v>
      </c>
      <c r="H50" s="20">
        <f t="shared" si="11"/>
        <v>5.7567957702964492</v>
      </c>
      <c r="I50" s="21">
        <f t="shared" si="12"/>
        <v>33.140697540903091</v>
      </c>
      <c r="J50" s="21">
        <f t="shared" si="13"/>
        <v>4.4283044386895769</v>
      </c>
    </row>
    <row r="51" spans="1:10" x14ac:dyDescent="0.35">
      <c r="A51" s="6">
        <v>43</v>
      </c>
      <c r="B51" s="19" t="str">
        <f>'Data Mentah'!B48</f>
        <v>23/10/2023</v>
      </c>
      <c r="C51" s="19">
        <f>'Data Mentah'!R48</f>
        <v>131</v>
      </c>
      <c r="D51" s="20">
        <f t="shared" si="7"/>
        <v>130.85457233107002</v>
      </c>
      <c r="E51" s="20">
        <f t="shared" si="8"/>
        <v>0.77582739791468014</v>
      </c>
      <c r="F51" s="20">
        <f t="shared" si="9"/>
        <v>129.54572331070003</v>
      </c>
      <c r="G51" s="20">
        <f t="shared" si="10"/>
        <v>1.4542766892999737</v>
      </c>
      <c r="H51" s="20">
        <f t="shared" si="11"/>
        <v>1.4542766892999737</v>
      </c>
      <c r="I51" s="21">
        <f t="shared" si="12"/>
        <v>2.1149206890412922</v>
      </c>
      <c r="J51" s="21">
        <f t="shared" si="13"/>
        <v>1.1101348773282242</v>
      </c>
    </row>
    <row r="52" spans="1:10" x14ac:dyDescent="0.35">
      <c r="A52" s="6">
        <v>44</v>
      </c>
      <c r="B52" s="19" t="str">
        <f>'Data Mentah'!B49</f>
        <v>30/10/2023</v>
      </c>
      <c r="C52" s="19">
        <f>'Data Mentah'!R49</f>
        <v>127</v>
      </c>
      <c r="D52" s="20">
        <f t="shared" si="7"/>
        <v>127.46303997289846</v>
      </c>
      <c r="E52" s="20">
        <f t="shared" si="8"/>
        <v>-1.3078524801284397</v>
      </c>
      <c r="F52" s="20">
        <f t="shared" si="9"/>
        <v>131.63039972898468</v>
      </c>
      <c r="G52" s="20">
        <f t="shared" si="10"/>
        <v>-4.6303997289846848</v>
      </c>
      <c r="H52" s="20">
        <f t="shared" si="11"/>
        <v>4.6303997289846848</v>
      </c>
      <c r="I52" s="21">
        <f t="shared" si="12"/>
        <v>21.440601650181442</v>
      </c>
      <c r="J52" s="21">
        <f t="shared" si="13"/>
        <v>3.6459840385706181</v>
      </c>
    </row>
    <row r="53" spans="1:10" x14ac:dyDescent="0.35">
      <c r="A53" s="6">
        <v>45</v>
      </c>
      <c r="B53" s="19" t="str">
        <f>'Data Mentah'!B50</f>
        <v>06/11/2023</v>
      </c>
      <c r="C53" s="19">
        <f>'Data Mentah'!R50</f>
        <v>122</v>
      </c>
      <c r="D53" s="20">
        <f t="shared" si="7"/>
        <v>122.415518749277</v>
      </c>
      <c r="E53" s="20">
        <f t="shared" si="8"/>
        <v>-3.1776868518749493</v>
      </c>
      <c r="F53" s="20">
        <f t="shared" si="9"/>
        <v>126.15518749277001</v>
      </c>
      <c r="G53" s="20">
        <f t="shared" si="10"/>
        <v>-4.1551874927700112</v>
      </c>
      <c r="H53" s="20">
        <f t="shared" si="11"/>
        <v>4.1551874927700112</v>
      </c>
      <c r="I53" s="21">
        <f t="shared" si="12"/>
        <v>17.26558310007233</v>
      </c>
      <c r="J53" s="21">
        <f t="shared" si="13"/>
        <v>3.405891387516403</v>
      </c>
    </row>
    <row r="54" spans="1:10" x14ac:dyDescent="0.35">
      <c r="A54" s="6">
        <v>46</v>
      </c>
      <c r="B54" s="19" t="str">
        <f>'Data Mentah'!B51</f>
        <v>13/11/2023</v>
      </c>
      <c r="C54" s="19">
        <f>'Data Mentah'!R51</f>
        <v>116</v>
      </c>
      <c r="D54" s="20">
        <f t="shared" si="7"/>
        <v>116.32378318974021</v>
      </c>
      <c r="E54" s="20">
        <f t="shared" si="8"/>
        <v>-4.6347112057058677</v>
      </c>
      <c r="F54" s="20">
        <f t="shared" si="9"/>
        <v>119.23783189740205</v>
      </c>
      <c r="G54" s="20">
        <f t="shared" si="10"/>
        <v>-3.2378318974020459</v>
      </c>
      <c r="H54" s="20">
        <f t="shared" si="11"/>
        <v>3.2378318974020459</v>
      </c>
      <c r="I54" s="21">
        <f t="shared" si="12"/>
        <v>10.483555395834133</v>
      </c>
      <c r="J54" s="21">
        <f t="shared" si="13"/>
        <v>2.7912343943121085</v>
      </c>
    </row>
    <row r="55" spans="1:10" x14ac:dyDescent="0.35">
      <c r="A55" s="6">
        <v>47</v>
      </c>
      <c r="B55" s="19" t="str">
        <f>'Data Mentah'!B52</f>
        <v>20/11/2023</v>
      </c>
      <c r="C55" s="19">
        <f>'Data Mentah'!R52</f>
        <v>116</v>
      </c>
      <c r="D55" s="20">
        <f t="shared" si="7"/>
        <v>115.56890719840344</v>
      </c>
      <c r="E55" s="20">
        <f t="shared" si="8"/>
        <v>-2.6947935985213212</v>
      </c>
      <c r="F55" s="20">
        <f t="shared" si="9"/>
        <v>111.68907198403434</v>
      </c>
      <c r="G55" s="20">
        <f t="shared" si="10"/>
        <v>4.3109280159656578</v>
      </c>
      <c r="H55" s="20">
        <f t="shared" si="11"/>
        <v>4.3109280159656578</v>
      </c>
      <c r="I55" s="21">
        <f t="shared" si="12"/>
        <v>18.584100358837603</v>
      </c>
      <c r="J55" s="21">
        <f t="shared" si="13"/>
        <v>3.7163172551428083</v>
      </c>
    </row>
    <row r="56" spans="1:10" x14ac:dyDescent="0.35">
      <c r="A56" s="6">
        <v>48</v>
      </c>
      <c r="B56" s="19" t="str">
        <f>'Data Mentah'!B53</f>
        <v>27/11/2023</v>
      </c>
      <c r="C56" s="19">
        <f>'Data Mentah'!R53</f>
        <v>119</v>
      </c>
      <c r="D56" s="20">
        <f t="shared" si="7"/>
        <v>118.38741135998822</v>
      </c>
      <c r="E56" s="20">
        <f t="shared" si="8"/>
        <v>6.1855281531731254E-2</v>
      </c>
      <c r="F56" s="20">
        <f t="shared" si="9"/>
        <v>112.87411359988212</v>
      </c>
      <c r="G56" s="20">
        <f t="shared" si="10"/>
        <v>6.1258864001178779</v>
      </c>
      <c r="H56" s="20">
        <f t="shared" si="11"/>
        <v>6.1258864001178779</v>
      </c>
      <c r="I56" s="21">
        <f t="shared" si="12"/>
        <v>37.526484187149173</v>
      </c>
      <c r="J56" s="21">
        <f t="shared" si="13"/>
        <v>5.1478036975780492</v>
      </c>
    </row>
    <row r="57" spans="1:10" x14ac:dyDescent="0.35">
      <c r="A57" s="6">
        <v>49</v>
      </c>
      <c r="B57" s="19" t="str">
        <f>'Data Mentah'!B54</f>
        <v>04/12/2023</v>
      </c>
      <c r="C57" s="19">
        <f>'Data Mentah'!R54</f>
        <v>118</v>
      </c>
      <c r="D57" s="20">
        <f t="shared" si="7"/>
        <v>118.044926664152</v>
      </c>
      <c r="E57" s="20">
        <f t="shared" si="8"/>
        <v>-0.14031470715224414</v>
      </c>
      <c r="F57" s="20">
        <f t="shared" si="9"/>
        <v>118.44926664151996</v>
      </c>
      <c r="G57" s="20">
        <f t="shared" si="10"/>
        <v>-0.4492666415199551</v>
      </c>
      <c r="H57" s="20">
        <f t="shared" si="11"/>
        <v>0.4492666415199551</v>
      </c>
      <c r="I57" s="21">
        <f t="shared" si="12"/>
        <v>0.20184051518261983</v>
      </c>
      <c r="J57" s="21">
        <f t="shared" si="13"/>
        <v>0.38073444196606365</v>
      </c>
    </row>
    <row r="58" spans="1:10" x14ac:dyDescent="0.35">
      <c r="A58" s="6">
        <v>50</v>
      </c>
      <c r="B58" s="19" t="str">
        <f>'Data Mentah'!B55</f>
        <v>11/12/2023</v>
      </c>
      <c r="C58" s="19">
        <f>'Data Mentah'!R55</f>
        <v>119</v>
      </c>
      <c r="D58" s="20">
        <f t="shared" si="7"/>
        <v>118.89046119569998</v>
      </c>
      <c r="E58" s="20">
        <f t="shared" si="8"/>
        <v>0.35260991219786952</v>
      </c>
      <c r="F58" s="20">
        <f t="shared" si="9"/>
        <v>117.90461195699976</v>
      </c>
      <c r="G58" s="20">
        <f t="shared" si="10"/>
        <v>1.0953880430002414</v>
      </c>
      <c r="H58" s="20">
        <f t="shared" si="11"/>
        <v>1.0953880430002414</v>
      </c>
      <c r="I58" s="21">
        <f t="shared" si="12"/>
        <v>1.1998749647478988</v>
      </c>
      <c r="J58" s="21">
        <f t="shared" si="13"/>
        <v>0.92049415378171551</v>
      </c>
    </row>
    <row r="59" spans="1:10" x14ac:dyDescent="0.35">
      <c r="A59" s="6">
        <v>51</v>
      </c>
      <c r="B59" s="19" t="str">
        <f>'Data Mentah'!B56</f>
        <v>18/12/2023</v>
      </c>
      <c r="C59" s="19">
        <f>'Data Mentah'!R56</f>
        <v>126</v>
      </c>
      <c r="D59" s="20">
        <f t="shared" si="7"/>
        <v>125.32430711078979</v>
      </c>
      <c r="E59" s="20">
        <f t="shared" si="8"/>
        <v>3.393227913643837</v>
      </c>
      <c r="F59" s="20">
        <f t="shared" si="9"/>
        <v>119.24307110789785</v>
      </c>
      <c r="G59" s="20">
        <f t="shared" si="10"/>
        <v>6.7569288921021524</v>
      </c>
      <c r="H59" s="20">
        <f t="shared" si="11"/>
        <v>6.7569288921021524</v>
      </c>
      <c r="I59" s="21">
        <f t="shared" si="12"/>
        <v>45.656088052924822</v>
      </c>
      <c r="J59" s="21">
        <f t="shared" si="13"/>
        <v>5.3626419778588517</v>
      </c>
    </row>
    <row r="60" spans="1:10" x14ac:dyDescent="0.35">
      <c r="A60" s="6">
        <v>52</v>
      </c>
      <c r="B60" s="19" t="str">
        <f>'Data Mentah'!B57</f>
        <v>25/12/2023</v>
      </c>
      <c r="C60" s="19">
        <f>'Data Mentah'!R57</f>
        <v>120</v>
      </c>
      <c r="D60" s="20">
        <f t="shared" si="7"/>
        <v>120.87175350244335</v>
      </c>
      <c r="E60" s="20">
        <f t="shared" si="8"/>
        <v>-0.52966284735129876</v>
      </c>
      <c r="F60" s="20">
        <f t="shared" si="9"/>
        <v>128.71753502443363</v>
      </c>
      <c r="G60" s="20">
        <f t="shared" si="10"/>
        <v>-8.71753502443363</v>
      </c>
      <c r="H60" s="20">
        <f t="shared" si="11"/>
        <v>8.71753502443363</v>
      </c>
      <c r="I60" s="21">
        <f t="shared" si="12"/>
        <v>75.995416902227049</v>
      </c>
      <c r="J60" s="21">
        <f t="shared" si="13"/>
        <v>7.264612520361359</v>
      </c>
    </row>
    <row r="61" spans="1:10" x14ac:dyDescent="0.35">
      <c r="A61" s="6">
        <v>53</v>
      </c>
      <c r="B61" s="19" t="str">
        <f>'Data Mentah'!B58</f>
        <v>01/01/2024</v>
      </c>
      <c r="C61" s="19">
        <f>'Data Mentah'!R58</f>
        <v>126</v>
      </c>
      <c r="D61" s="20">
        <f t="shared" si="7"/>
        <v>125.43420906550921</v>
      </c>
      <c r="E61" s="20">
        <f t="shared" si="8"/>
        <v>2.0163963578572774</v>
      </c>
      <c r="F61" s="20">
        <f t="shared" si="9"/>
        <v>120.34209065509205</v>
      </c>
      <c r="G61" s="20">
        <f t="shared" si="10"/>
        <v>5.6579093449079494</v>
      </c>
      <c r="H61" s="20">
        <f t="shared" si="11"/>
        <v>5.6579093449079494</v>
      </c>
      <c r="I61" s="21">
        <f t="shared" si="12"/>
        <v>32.011938155196702</v>
      </c>
      <c r="J61" s="21">
        <f t="shared" si="13"/>
        <v>4.4904042419904355</v>
      </c>
    </row>
    <row r="62" spans="1:10" x14ac:dyDescent="0.35">
      <c r="A62" s="6">
        <v>54</v>
      </c>
      <c r="B62" s="19" t="str">
        <f>'Data Mentah'!B59</f>
        <v>08/01/2024</v>
      </c>
      <c r="C62" s="19">
        <f>'Data Mentah'!R59</f>
        <v>129</v>
      </c>
      <c r="D62" s="20">
        <f t="shared" si="7"/>
        <v>128.84506054233665</v>
      </c>
      <c r="E62" s="20">
        <f t="shared" si="8"/>
        <v>2.7136239173423617</v>
      </c>
      <c r="F62" s="20">
        <f t="shared" si="9"/>
        <v>127.45060542336648</v>
      </c>
      <c r="G62" s="20">
        <f t="shared" si="10"/>
        <v>1.5493945766335173</v>
      </c>
      <c r="H62" s="20">
        <f t="shared" si="11"/>
        <v>1.5493945766335173</v>
      </c>
      <c r="I62" s="21">
        <f t="shared" si="12"/>
        <v>2.4006235541013563</v>
      </c>
      <c r="J62" s="21">
        <f t="shared" si="13"/>
        <v>1.2010810671577654</v>
      </c>
    </row>
    <row r="63" spans="1:10" x14ac:dyDescent="0.35">
      <c r="A63" s="6">
        <v>55</v>
      </c>
      <c r="B63" s="19" t="str">
        <f>'Data Mentah'!B60</f>
        <v>15/01/2024</v>
      </c>
      <c r="C63" s="19">
        <f>'Data Mentah'!R60</f>
        <v>116</v>
      </c>
      <c r="D63" s="20">
        <f t="shared" si="7"/>
        <v>117.5558684459679</v>
      </c>
      <c r="E63" s="20">
        <f t="shared" si="8"/>
        <v>-4.2877840895131945</v>
      </c>
      <c r="F63" s="20">
        <f t="shared" si="9"/>
        <v>131.55868445967903</v>
      </c>
      <c r="G63" s="20">
        <f t="shared" si="10"/>
        <v>-15.558684459679029</v>
      </c>
      <c r="H63" s="20">
        <f t="shared" si="11"/>
        <v>15.558684459679029</v>
      </c>
      <c r="I63" s="21">
        <f t="shared" si="12"/>
        <v>242.0726621158577</v>
      </c>
      <c r="J63" s="21">
        <f t="shared" si="13"/>
        <v>13.412659016964678</v>
      </c>
    </row>
    <row r="64" spans="1:10" x14ac:dyDescent="0.35">
      <c r="A64" s="6">
        <v>56</v>
      </c>
      <c r="B64" s="19" t="str">
        <f>'Data Mentah'!B61</f>
        <v>22/01/2024</v>
      </c>
      <c r="C64" s="19">
        <f>'Data Mentah'!R61</f>
        <v>125</v>
      </c>
      <c r="D64" s="20">
        <f t="shared" si="7"/>
        <v>123.82680843564546</v>
      </c>
      <c r="E64" s="20">
        <f t="shared" si="8"/>
        <v>0.99157795008218175</v>
      </c>
      <c r="F64" s="20">
        <f t="shared" si="9"/>
        <v>113.26808435645471</v>
      </c>
      <c r="G64" s="20">
        <f t="shared" si="10"/>
        <v>11.731915643545292</v>
      </c>
      <c r="H64" s="20">
        <f t="shared" si="11"/>
        <v>11.731915643545292</v>
      </c>
      <c r="I64" s="21">
        <f t="shared" si="12"/>
        <v>137.63784466726275</v>
      </c>
      <c r="J64" s="21">
        <f t="shared" si="13"/>
        <v>9.3855325148362336</v>
      </c>
    </row>
    <row r="65" spans="1:10" x14ac:dyDescent="0.35">
      <c r="A65" s="6">
        <v>57</v>
      </c>
      <c r="B65" s="19" t="str">
        <f>'Data Mentah'!B62</f>
        <v>29/01/2024</v>
      </c>
      <c r="C65" s="19">
        <f>'Data Mentah'!R62</f>
        <v>126</v>
      </c>
      <c r="D65" s="20">
        <f t="shared" si="7"/>
        <v>125.88183863857277</v>
      </c>
      <c r="E65" s="20">
        <f t="shared" si="8"/>
        <v>1.5233040765047472</v>
      </c>
      <c r="F65" s="20">
        <f t="shared" si="9"/>
        <v>124.81838638572765</v>
      </c>
      <c r="G65" s="20">
        <f t="shared" si="10"/>
        <v>1.1816136142723508</v>
      </c>
      <c r="H65" s="20">
        <f t="shared" si="11"/>
        <v>1.1816136142723508</v>
      </c>
      <c r="I65" s="21">
        <f t="shared" si="12"/>
        <v>1.3962107334337679</v>
      </c>
      <c r="J65" s="21">
        <f t="shared" si="13"/>
        <v>0.93778858275583399</v>
      </c>
    </row>
    <row r="66" spans="1:10" x14ac:dyDescent="0.35">
      <c r="A66" s="6">
        <v>58</v>
      </c>
      <c r="B66" s="19" t="str">
        <f>'Data Mentah'!B63</f>
        <v>05/02/2024</v>
      </c>
      <c r="C66" s="19">
        <f>'Data Mentah'!R63</f>
        <v>115</v>
      </c>
      <c r="D66" s="20">
        <f t="shared" si="7"/>
        <v>116.24051427150775</v>
      </c>
      <c r="E66" s="20">
        <f t="shared" si="8"/>
        <v>-4.0590101452801388</v>
      </c>
      <c r="F66" s="20">
        <f t="shared" si="9"/>
        <v>127.40514271507752</v>
      </c>
      <c r="G66" s="20">
        <f t="shared" si="10"/>
        <v>-12.405142715077517</v>
      </c>
      <c r="H66" s="20">
        <f t="shared" si="11"/>
        <v>12.405142715077517</v>
      </c>
      <c r="I66" s="21">
        <f t="shared" si="12"/>
        <v>153.8875657814408</v>
      </c>
      <c r="J66" s="21">
        <f t="shared" si="13"/>
        <v>10.787080621806536</v>
      </c>
    </row>
    <row r="67" spans="1:10" x14ac:dyDescent="0.35">
      <c r="A67" s="6">
        <v>59</v>
      </c>
      <c r="B67" s="19" t="str">
        <f>'Data Mentah'!B64</f>
        <v>12/02/2024</v>
      </c>
      <c r="C67" s="19">
        <f>'Data Mentah'!R64</f>
        <v>117</v>
      </c>
      <c r="D67" s="20">
        <f t="shared" si="7"/>
        <v>116.51815041262276</v>
      </c>
      <c r="E67" s="20">
        <f t="shared" si="8"/>
        <v>-1.8906870020825641</v>
      </c>
      <c r="F67" s="20">
        <f t="shared" si="9"/>
        <v>112.18150412622761</v>
      </c>
      <c r="G67" s="20">
        <f t="shared" si="10"/>
        <v>4.8184958737723917</v>
      </c>
      <c r="H67" s="20">
        <f t="shared" si="11"/>
        <v>4.8184958737723917</v>
      </c>
      <c r="I67" s="21">
        <f t="shared" si="12"/>
        <v>23.217902485561567</v>
      </c>
      <c r="J67" s="21">
        <f t="shared" si="13"/>
        <v>4.1183725416858055</v>
      </c>
    </row>
    <row r="68" spans="1:10" x14ac:dyDescent="0.35">
      <c r="A68" s="6">
        <v>60</v>
      </c>
      <c r="B68" s="19" t="str">
        <f>'Data Mentah'!B65</f>
        <v>19/02/2024</v>
      </c>
      <c r="C68" s="19">
        <f>'Data Mentah'!R65</f>
        <v>114</v>
      </c>
      <c r="D68" s="20">
        <f t="shared" si="7"/>
        <v>114.06274634105402</v>
      </c>
      <c r="E68" s="20">
        <f t="shared" si="8"/>
        <v>-2.1730455368256503</v>
      </c>
      <c r="F68" s="20">
        <f t="shared" si="9"/>
        <v>114.6274634105402</v>
      </c>
      <c r="G68" s="20">
        <f t="shared" si="10"/>
        <v>-0.62746341054020149</v>
      </c>
      <c r="H68" s="20">
        <f t="shared" si="11"/>
        <v>0.62746341054020149</v>
      </c>
      <c r="I68" s="21">
        <f t="shared" si="12"/>
        <v>0.39371033156674146</v>
      </c>
      <c r="J68" s="21">
        <f t="shared" si="13"/>
        <v>0.55040650047386097</v>
      </c>
    </row>
    <row r="69" spans="1:10" x14ac:dyDescent="0.35">
      <c r="A69" s="6">
        <v>61</v>
      </c>
      <c r="B69" s="19" t="str">
        <f>'Data Mentah'!B66</f>
        <v>26/02/2024</v>
      </c>
      <c r="C69" s="19">
        <f>'Data Mentah'!R66</f>
        <v>113</v>
      </c>
      <c r="D69" s="20">
        <f t="shared" si="7"/>
        <v>112.88897008042284</v>
      </c>
      <c r="E69" s="20">
        <f t="shared" si="8"/>
        <v>-1.6734108987284182</v>
      </c>
      <c r="F69" s="20">
        <f t="shared" si="9"/>
        <v>111.88970080422837</v>
      </c>
      <c r="G69" s="20">
        <f t="shared" si="10"/>
        <v>1.1102991957716313</v>
      </c>
      <c r="H69" s="20">
        <f t="shared" si="11"/>
        <v>1.1102991957716313</v>
      </c>
      <c r="I69" s="21">
        <f t="shared" si="12"/>
        <v>1.2327643041311311</v>
      </c>
      <c r="J69" s="21">
        <f t="shared" si="13"/>
        <v>0.98256565997489487</v>
      </c>
    </row>
    <row r="70" spans="1:10" x14ac:dyDescent="0.35">
      <c r="A70" s="6">
        <v>62</v>
      </c>
      <c r="B70" s="19" t="str">
        <f>'Data Mentah'!B67</f>
        <v>04/03/2024</v>
      </c>
      <c r="C70" s="19">
        <f>'Data Mentah'!R67</f>
        <v>123</v>
      </c>
      <c r="D70" s="20">
        <f t="shared" si="7"/>
        <v>121.82155591816944</v>
      </c>
      <c r="E70" s="20">
        <f t="shared" si="8"/>
        <v>3.6295874695090911</v>
      </c>
      <c r="F70" s="20">
        <f t="shared" si="9"/>
        <v>111.21555918169442</v>
      </c>
      <c r="G70" s="20">
        <f t="shared" si="10"/>
        <v>11.784440818305583</v>
      </c>
      <c r="H70" s="20">
        <f t="shared" si="11"/>
        <v>11.784440818305583</v>
      </c>
      <c r="I70" s="21">
        <f t="shared" si="12"/>
        <v>138.87304540014676</v>
      </c>
      <c r="J70" s="21">
        <f t="shared" si="13"/>
        <v>9.5808461937443781</v>
      </c>
    </row>
    <row r="71" spans="1:10" x14ac:dyDescent="0.35">
      <c r="A71" s="6">
        <v>63</v>
      </c>
      <c r="B71" s="19" t="str">
        <f>'Data Mentah'!B68</f>
        <v>11/03/2024</v>
      </c>
      <c r="C71" s="19">
        <f>'Data Mentah'!R68</f>
        <v>122</v>
      </c>
      <c r="D71" s="20">
        <f t="shared" si="7"/>
        <v>122.34511433876784</v>
      </c>
      <c r="E71" s="20">
        <f t="shared" si="8"/>
        <v>2.0765729450537482</v>
      </c>
      <c r="F71" s="20">
        <f t="shared" si="9"/>
        <v>125.45114338767853</v>
      </c>
      <c r="G71" s="20">
        <f t="shared" si="10"/>
        <v>-3.4511433876785276</v>
      </c>
      <c r="H71" s="20">
        <f t="shared" si="11"/>
        <v>3.4511433876785276</v>
      </c>
      <c r="I71" s="21">
        <f t="shared" si="12"/>
        <v>11.910390682317225</v>
      </c>
      <c r="J71" s="21">
        <f t="shared" si="13"/>
        <v>2.8288060554742032</v>
      </c>
    </row>
    <row r="72" spans="1:10" x14ac:dyDescent="0.35">
      <c r="A72" s="6">
        <v>64</v>
      </c>
      <c r="B72" s="19" t="str">
        <f>'Data Mentah'!B69</f>
        <v>18/03/2024</v>
      </c>
      <c r="C72" s="19">
        <f>'Data Mentah'!R69</f>
        <v>115</v>
      </c>
      <c r="D72" s="20">
        <f t="shared" si="7"/>
        <v>115.94216872838216</v>
      </c>
      <c r="E72" s="20">
        <f t="shared" si="8"/>
        <v>-2.163186332665969</v>
      </c>
      <c r="F72" s="20">
        <f t="shared" si="9"/>
        <v>124.4216872838216</v>
      </c>
      <c r="G72" s="20">
        <f t="shared" si="10"/>
        <v>-9.4216872838215977</v>
      </c>
      <c r="H72" s="20">
        <f t="shared" si="11"/>
        <v>9.4216872838215977</v>
      </c>
      <c r="I72" s="21">
        <f t="shared" si="12"/>
        <v>88.768191274125599</v>
      </c>
      <c r="J72" s="21">
        <f t="shared" si="13"/>
        <v>8.1927715511492156</v>
      </c>
    </row>
    <row r="73" spans="1:10" x14ac:dyDescent="0.35">
      <c r="A73" s="6">
        <v>65</v>
      </c>
      <c r="B73" s="19" t="str">
        <f>'Data Mentah'!B70</f>
        <v>25/03/2024</v>
      </c>
      <c r="C73" s="19">
        <f>'Data Mentah'!R70</f>
        <v>113</v>
      </c>
      <c r="D73" s="20">
        <f t="shared" ref="D73:D104" si="14">$E$4*C73+(1-$E$4)*(D72+E72)</f>
        <v>113.07789823957162</v>
      </c>
      <c r="E73" s="20">
        <f t="shared" ref="E73:E104" si="15">$H$4*(D73-D72)+(1-$H$4)*E72</f>
        <v>-2.5137284107382509</v>
      </c>
      <c r="F73" s="20">
        <f t="shared" ref="F73:F104" si="16">D72+E72</f>
        <v>113.77898239571618</v>
      </c>
      <c r="G73" s="20">
        <f t="shared" ref="G73:G104" si="17">C73-F73</f>
        <v>-0.77898239571618433</v>
      </c>
      <c r="H73" s="20">
        <f t="shared" ref="H73:H104" si="18">ABS(G73)</f>
        <v>0.77898239571618433</v>
      </c>
      <c r="I73" s="21">
        <f t="shared" ref="I73:I104" si="19">G73^2</f>
        <v>0.60681357283572601</v>
      </c>
      <c r="J73" s="21">
        <f t="shared" ref="J73:J104" si="20">ABS(G73/C73)*100</f>
        <v>0.68936495196122505</v>
      </c>
    </row>
    <row r="74" spans="1:10" x14ac:dyDescent="0.35">
      <c r="A74" s="6">
        <v>66</v>
      </c>
      <c r="B74" s="19" t="str">
        <f>'Data Mentah'!B71</f>
        <v>01/04/2024</v>
      </c>
      <c r="C74" s="19">
        <f>'Data Mentah'!R71</f>
        <v>103</v>
      </c>
      <c r="D74" s="20">
        <f t="shared" si="14"/>
        <v>103.75641698288334</v>
      </c>
      <c r="E74" s="20">
        <f t="shared" si="15"/>
        <v>-5.917604833713269</v>
      </c>
      <c r="F74" s="20">
        <f t="shared" si="16"/>
        <v>110.56416982883337</v>
      </c>
      <c r="G74" s="20">
        <f t="shared" si="17"/>
        <v>-7.5641698288333714</v>
      </c>
      <c r="H74" s="20">
        <f t="shared" si="18"/>
        <v>7.5641698288333714</v>
      </c>
      <c r="I74" s="21">
        <f t="shared" si="19"/>
        <v>57.216665199433073</v>
      </c>
      <c r="J74" s="21">
        <f t="shared" si="20"/>
        <v>7.3438542027508467</v>
      </c>
    </row>
    <row r="75" spans="1:10" x14ac:dyDescent="0.35">
      <c r="A75" s="6">
        <v>67</v>
      </c>
      <c r="B75" s="19" t="str">
        <f>'Data Mentah'!B72</f>
        <v>08/04/2024</v>
      </c>
      <c r="C75" s="19">
        <f>'Data Mentah'!R72</f>
        <v>106</v>
      </c>
      <c r="D75" s="20">
        <f t="shared" si="14"/>
        <v>105.18388121491701</v>
      </c>
      <c r="E75" s="20">
        <f t="shared" si="15"/>
        <v>-2.245070300839799</v>
      </c>
      <c r="F75" s="20">
        <f t="shared" si="16"/>
        <v>97.838812149170067</v>
      </c>
      <c r="G75" s="20">
        <f t="shared" si="17"/>
        <v>8.1611878508299327</v>
      </c>
      <c r="H75" s="20">
        <f t="shared" si="18"/>
        <v>8.1611878508299327</v>
      </c>
      <c r="I75" s="21">
        <f t="shared" si="19"/>
        <v>66.604987136534092</v>
      </c>
      <c r="J75" s="21">
        <f t="shared" si="20"/>
        <v>7.6992338215376721</v>
      </c>
    </row>
    <row r="76" spans="1:10" x14ac:dyDescent="0.35">
      <c r="A76" s="6">
        <v>68</v>
      </c>
      <c r="B76" s="19" t="str">
        <f>'Data Mentah'!B73</f>
        <v>15/04/2024</v>
      </c>
      <c r="C76" s="19">
        <f>'Data Mentah'!R73</f>
        <v>114</v>
      </c>
      <c r="D76" s="20">
        <f t="shared" si="14"/>
        <v>112.89388109140774</v>
      </c>
      <c r="E76" s="20">
        <f t="shared" si="15"/>
        <v>2.7324647878254638</v>
      </c>
      <c r="F76" s="20">
        <f t="shared" si="16"/>
        <v>102.93881091407721</v>
      </c>
      <c r="G76" s="20">
        <f t="shared" si="17"/>
        <v>11.061189085922791</v>
      </c>
      <c r="H76" s="20">
        <f t="shared" si="18"/>
        <v>11.061189085922791</v>
      </c>
      <c r="I76" s="21">
        <f t="shared" si="19"/>
        <v>122.34990399453747</v>
      </c>
      <c r="J76" s="21">
        <f t="shared" si="20"/>
        <v>9.7027974437919227</v>
      </c>
    </row>
    <row r="77" spans="1:10" x14ac:dyDescent="0.35">
      <c r="A77" s="6">
        <v>69</v>
      </c>
      <c r="B77" s="19" t="str">
        <f>'Data Mentah'!B74</f>
        <v>22/04/2024</v>
      </c>
      <c r="C77" s="19">
        <f>'Data Mentah'!R74</f>
        <v>116</v>
      </c>
      <c r="D77" s="20">
        <f t="shared" si="14"/>
        <v>115.96263458792332</v>
      </c>
      <c r="E77" s="20">
        <f t="shared" si="15"/>
        <v>2.9006091421705236</v>
      </c>
      <c r="F77" s="20">
        <f t="shared" si="16"/>
        <v>115.6263458792332</v>
      </c>
      <c r="G77" s="20">
        <f t="shared" si="17"/>
        <v>0.37365412076680116</v>
      </c>
      <c r="H77" s="20">
        <f t="shared" si="18"/>
        <v>0.37365412076680116</v>
      </c>
      <c r="I77" s="21">
        <f t="shared" si="19"/>
        <v>0.13961740196601122</v>
      </c>
      <c r="J77" s="21">
        <f t="shared" si="20"/>
        <v>0.32211562135069066</v>
      </c>
    </row>
    <row r="78" spans="1:10" x14ac:dyDescent="0.35">
      <c r="A78" s="6">
        <v>70</v>
      </c>
      <c r="B78" s="19" t="str">
        <f>'Data Mentah'!B75</f>
        <v>29/04/2024</v>
      </c>
      <c r="C78" s="19">
        <f>'Data Mentah'!R75</f>
        <v>129</v>
      </c>
      <c r="D78" s="20">
        <f t="shared" si="14"/>
        <v>127.9863243730094</v>
      </c>
      <c r="E78" s="20">
        <f t="shared" si="15"/>
        <v>7.4621494636283003</v>
      </c>
      <c r="F78" s="20">
        <f t="shared" si="16"/>
        <v>118.86324373009384</v>
      </c>
      <c r="G78" s="20">
        <f t="shared" si="17"/>
        <v>10.136756269906158</v>
      </c>
      <c r="H78" s="20">
        <f t="shared" si="18"/>
        <v>10.136756269906158</v>
      </c>
      <c r="I78" s="21">
        <f t="shared" si="19"/>
        <v>102.7538276754818</v>
      </c>
      <c r="J78" s="21">
        <f t="shared" si="20"/>
        <v>7.8579505968264796</v>
      </c>
    </row>
    <row r="79" spans="1:10" x14ac:dyDescent="0.35">
      <c r="A79" s="6">
        <v>71</v>
      </c>
      <c r="B79" s="19" t="str">
        <f>'Data Mentah'!B76</f>
        <v>06/05/2024</v>
      </c>
      <c r="C79" s="19">
        <f>'Data Mentah'!R76</f>
        <v>128</v>
      </c>
      <c r="D79" s="20">
        <f t="shared" si="14"/>
        <v>128.74484738366377</v>
      </c>
      <c r="E79" s="20">
        <f t="shared" si="15"/>
        <v>4.1103362371413361</v>
      </c>
      <c r="F79" s="20">
        <f t="shared" si="16"/>
        <v>135.4484738366377</v>
      </c>
      <c r="G79" s="20">
        <f t="shared" si="17"/>
        <v>-7.448473836637703</v>
      </c>
      <c r="H79" s="20">
        <f t="shared" si="18"/>
        <v>7.448473836637703</v>
      </c>
      <c r="I79" s="21">
        <f t="shared" si="19"/>
        <v>55.479762495076386</v>
      </c>
      <c r="J79" s="21">
        <f t="shared" si="20"/>
        <v>5.8191201848732055</v>
      </c>
    </row>
    <row r="80" spans="1:10" x14ac:dyDescent="0.35">
      <c r="A80" s="6">
        <v>72</v>
      </c>
      <c r="B80" s="19" t="str">
        <f>'Data Mentah'!B77</f>
        <v>13/05/2024</v>
      </c>
      <c r="C80" s="19">
        <f>'Data Mentah'!R77</f>
        <v>124</v>
      </c>
      <c r="D80" s="20">
        <f t="shared" si="14"/>
        <v>124.88551836208052</v>
      </c>
      <c r="E80" s="20">
        <f t="shared" si="15"/>
        <v>0.12550360777904324</v>
      </c>
      <c r="F80" s="20">
        <f t="shared" si="16"/>
        <v>132.85518362080509</v>
      </c>
      <c r="G80" s="20">
        <f t="shared" si="17"/>
        <v>-8.8551836208050929</v>
      </c>
      <c r="H80" s="20">
        <f t="shared" si="18"/>
        <v>8.8551836208050929</v>
      </c>
      <c r="I80" s="21">
        <f t="shared" si="19"/>
        <v>78.414276958174796</v>
      </c>
      <c r="J80" s="21">
        <f t="shared" si="20"/>
        <v>7.1412771135524942</v>
      </c>
    </row>
    <row r="81" spans="1:10" x14ac:dyDescent="0.35">
      <c r="A81" s="6">
        <v>73</v>
      </c>
      <c r="B81" s="19" t="str">
        <f>'Data Mentah'!B78</f>
        <v>20/05/2024</v>
      </c>
      <c r="C81" s="19">
        <f>'Data Mentah'!R78</f>
        <v>117</v>
      </c>
      <c r="D81" s="20">
        <f t="shared" si="14"/>
        <v>117.80110219698595</v>
      </c>
      <c r="E81" s="20">
        <f t="shared" si="15"/>
        <v>-3.4794562786577616</v>
      </c>
      <c r="F81" s="20">
        <f t="shared" si="16"/>
        <v>125.01102196985956</v>
      </c>
      <c r="G81" s="20">
        <f t="shared" si="17"/>
        <v>-8.0110219698595557</v>
      </c>
      <c r="H81" s="20">
        <f t="shared" si="18"/>
        <v>8.0110219698595557</v>
      </c>
      <c r="I81" s="21">
        <f t="shared" si="19"/>
        <v>64.176473001572475</v>
      </c>
      <c r="J81" s="21">
        <f t="shared" si="20"/>
        <v>6.8470273246662865</v>
      </c>
    </row>
    <row r="82" spans="1:10" x14ac:dyDescent="0.35">
      <c r="A82" s="6">
        <v>74</v>
      </c>
      <c r="B82" s="19" t="str">
        <f>'Data Mentah'!B79</f>
        <v>27/05/2024</v>
      </c>
      <c r="C82" s="19">
        <f>'Data Mentah'!R79</f>
        <v>110</v>
      </c>
      <c r="D82" s="20">
        <f t="shared" si="14"/>
        <v>110.43216459183282</v>
      </c>
      <c r="E82" s="20">
        <f t="shared" si="15"/>
        <v>-5.4241969419054481</v>
      </c>
      <c r="F82" s="20">
        <f t="shared" si="16"/>
        <v>114.32164591832819</v>
      </c>
      <c r="G82" s="20">
        <f t="shared" si="17"/>
        <v>-4.321645918328187</v>
      </c>
      <c r="H82" s="20">
        <f t="shared" si="18"/>
        <v>4.321645918328187</v>
      </c>
      <c r="I82" s="21">
        <f t="shared" si="19"/>
        <v>18.676623443402679</v>
      </c>
      <c r="J82" s="21">
        <f t="shared" si="20"/>
        <v>3.9287690166619886</v>
      </c>
    </row>
    <row r="83" spans="1:10" x14ac:dyDescent="0.35">
      <c r="A83" s="6">
        <v>75</v>
      </c>
      <c r="B83" s="19" t="str">
        <f>'Data Mentah'!B80</f>
        <v>03/06/2024</v>
      </c>
      <c r="C83" s="19">
        <f>'Data Mentah'!R80</f>
        <v>115</v>
      </c>
      <c r="D83" s="20">
        <f t="shared" si="14"/>
        <v>114.00079676499273</v>
      </c>
      <c r="E83" s="20">
        <f t="shared" si="15"/>
        <v>-0.92778238437276794</v>
      </c>
      <c r="F83" s="20">
        <f t="shared" si="16"/>
        <v>105.00796764992737</v>
      </c>
      <c r="G83" s="20">
        <f t="shared" si="17"/>
        <v>9.992032350072634</v>
      </c>
      <c r="H83" s="20">
        <f t="shared" si="18"/>
        <v>9.992032350072634</v>
      </c>
      <c r="I83" s="21">
        <f t="shared" si="19"/>
        <v>99.84071048489804</v>
      </c>
      <c r="J83" s="21">
        <f t="shared" si="20"/>
        <v>8.6887237826718557</v>
      </c>
    </row>
    <row r="84" spans="1:10" x14ac:dyDescent="0.35">
      <c r="A84" s="6">
        <v>76</v>
      </c>
      <c r="B84" s="19" t="str">
        <f>'Data Mentah'!B81</f>
        <v>10/06/2024</v>
      </c>
      <c r="C84" s="19">
        <f>'Data Mentah'!R81</f>
        <v>118</v>
      </c>
      <c r="D84" s="20">
        <f t="shared" si="14"/>
        <v>117.507301438062</v>
      </c>
      <c r="E84" s="20">
        <f t="shared" si="15"/>
        <v>1.2893611443482524</v>
      </c>
      <c r="F84" s="20">
        <f t="shared" si="16"/>
        <v>113.07301438061997</v>
      </c>
      <c r="G84" s="20">
        <f t="shared" si="17"/>
        <v>4.9269856193800337</v>
      </c>
      <c r="H84" s="20">
        <f t="shared" si="18"/>
        <v>4.9269856193800337</v>
      </c>
      <c r="I84" s="21">
        <f t="shared" si="19"/>
        <v>24.275187293577655</v>
      </c>
      <c r="J84" s="21">
        <f t="shared" si="20"/>
        <v>4.1754115418474864</v>
      </c>
    </row>
    <row r="85" spans="1:10" x14ac:dyDescent="0.35">
      <c r="A85" s="6">
        <v>77</v>
      </c>
      <c r="B85" s="19" t="str">
        <f>'Data Mentah'!B82</f>
        <v>17/06/2024</v>
      </c>
      <c r="C85" s="19">
        <f>'Data Mentah'!R82</f>
        <v>122</v>
      </c>
      <c r="D85" s="20">
        <f t="shared" si="14"/>
        <v>121.67966625824101</v>
      </c>
      <c r="E85" s="20">
        <f t="shared" si="15"/>
        <v>2.7308629822636323</v>
      </c>
      <c r="F85" s="20">
        <f t="shared" si="16"/>
        <v>118.79666258241025</v>
      </c>
      <c r="G85" s="20">
        <f t="shared" si="17"/>
        <v>3.2033374175897507</v>
      </c>
      <c r="H85" s="20">
        <f t="shared" si="18"/>
        <v>3.2033374175897507</v>
      </c>
      <c r="I85" s="21">
        <f t="shared" si="19"/>
        <v>10.261370610930573</v>
      </c>
      <c r="J85" s="21">
        <f t="shared" si="20"/>
        <v>2.6256864078604512</v>
      </c>
    </row>
    <row r="86" spans="1:10" x14ac:dyDescent="0.35">
      <c r="A86" s="6">
        <v>78</v>
      </c>
      <c r="B86" s="19" t="str">
        <f>'Data Mentah'!B83</f>
        <v>24/06/2024</v>
      </c>
      <c r="C86" s="19">
        <f>'Data Mentah'!R83</f>
        <v>126</v>
      </c>
      <c r="D86" s="20">
        <f t="shared" si="14"/>
        <v>125.84105292405047</v>
      </c>
      <c r="E86" s="20">
        <f t="shared" si="15"/>
        <v>3.4461248240365459</v>
      </c>
      <c r="F86" s="20">
        <f t="shared" si="16"/>
        <v>124.41052924050464</v>
      </c>
      <c r="G86" s="20">
        <f t="shared" si="17"/>
        <v>1.5894707594953559</v>
      </c>
      <c r="H86" s="20">
        <f t="shared" si="18"/>
        <v>1.5894707594953559</v>
      </c>
      <c r="I86" s="21">
        <f t="shared" si="19"/>
        <v>2.5264172952907433</v>
      </c>
      <c r="J86" s="21">
        <f t="shared" si="20"/>
        <v>1.261484729758219</v>
      </c>
    </row>
    <row r="87" spans="1:10" x14ac:dyDescent="0.35">
      <c r="A87" s="6">
        <v>79</v>
      </c>
      <c r="B87" s="19" t="str">
        <f>'Data Mentah'!B84</f>
        <v>01/07/2024</v>
      </c>
      <c r="C87" s="19">
        <f>'Data Mentah'!R84</f>
        <v>117</v>
      </c>
      <c r="D87" s="20">
        <f t="shared" si="14"/>
        <v>118.2287177748087</v>
      </c>
      <c r="E87" s="20">
        <f t="shared" si="15"/>
        <v>-2.0831051626026134</v>
      </c>
      <c r="F87" s="20">
        <f t="shared" si="16"/>
        <v>129.28717774808703</v>
      </c>
      <c r="G87" s="20">
        <f t="shared" si="17"/>
        <v>-12.287177748087032</v>
      </c>
      <c r="H87" s="20">
        <f t="shared" si="18"/>
        <v>12.287177748087032</v>
      </c>
      <c r="I87" s="21">
        <f t="shared" si="19"/>
        <v>150.9747370130851</v>
      </c>
      <c r="J87" s="21">
        <f t="shared" si="20"/>
        <v>10.50186132315131</v>
      </c>
    </row>
    <row r="88" spans="1:10" x14ac:dyDescent="0.35">
      <c r="A88" s="6">
        <v>80</v>
      </c>
      <c r="B88" s="19" t="str">
        <f>'Data Mentah'!B85</f>
        <v>08/07/2024</v>
      </c>
      <c r="C88" s="19">
        <f>'Data Mentah'!R85</f>
        <v>114</v>
      </c>
      <c r="D88" s="20">
        <f t="shared" si="14"/>
        <v>114.21456126122061</v>
      </c>
      <c r="E88" s="20">
        <f t="shared" si="15"/>
        <v>-3.0486308380953524</v>
      </c>
      <c r="F88" s="20">
        <f t="shared" si="16"/>
        <v>116.14561261220609</v>
      </c>
      <c r="G88" s="20">
        <f t="shared" si="17"/>
        <v>-2.1456126122060937</v>
      </c>
      <c r="H88" s="20">
        <f t="shared" si="18"/>
        <v>2.1456126122060937</v>
      </c>
      <c r="I88" s="21">
        <f t="shared" si="19"/>
        <v>4.6036534816578571</v>
      </c>
      <c r="J88" s="21">
        <f t="shared" si="20"/>
        <v>1.8821163264965735</v>
      </c>
    </row>
    <row r="89" spans="1:10" x14ac:dyDescent="0.35">
      <c r="A89" s="6">
        <v>81</v>
      </c>
      <c r="B89" s="19" t="str">
        <f>'Data Mentah'!B86</f>
        <v>15/07/2024</v>
      </c>
      <c r="C89" s="19">
        <f>'Data Mentah'!R86</f>
        <v>116</v>
      </c>
      <c r="D89" s="20">
        <f t="shared" si="14"/>
        <v>115.51659304231254</v>
      </c>
      <c r="E89" s="20">
        <f t="shared" si="15"/>
        <v>-0.87329952850171289</v>
      </c>
      <c r="F89" s="20">
        <f t="shared" si="16"/>
        <v>111.16593042312526</v>
      </c>
      <c r="G89" s="20">
        <f t="shared" si="17"/>
        <v>4.8340695768747395</v>
      </c>
      <c r="H89" s="20">
        <f t="shared" si="18"/>
        <v>4.8340695768747395</v>
      </c>
      <c r="I89" s="21">
        <f t="shared" si="19"/>
        <v>23.368228674065922</v>
      </c>
      <c r="J89" s="21">
        <f t="shared" si="20"/>
        <v>4.1673013593747754</v>
      </c>
    </row>
    <row r="90" spans="1:10" x14ac:dyDescent="0.35">
      <c r="A90" s="6">
        <v>82</v>
      </c>
      <c r="B90" s="19" t="str">
        <f>'Data Mentah'!B87</f>
        <v>22/07/2024</v>
      </c>
      <c r="C90" s="19">
        <f>'Data Mentah'!R87</f>
        <v>114</v>
      </c>
      <c r="D90" s="20">
        <f t="shared" si="14"/>
        <v>114.06432935138109</v>
      </c>
      <c r="E90" s="20">
        <f t="shared" si="15"/>
        <v>-1.1627816097165793</v>
      </c>
      <c r="F90" s="20">
        <f t="shared" si="16"/>
        <v>114.64329351381082</v>
      </c>
      <c r="G90" s="20">
        <f t="shared" si="17"/>
        <v>-0.64329351381081779</v>
      </c>
      <c r="H90" s="20">
        <f t="shared" si="18"/>
        <v>0.64329351381081779</v>
      </c>
      <c r="I90" s="21">
        <f t="shared" si="19"/>
        <v>0.41382654491106879</v>
      </c>
      <c r="J90" s="21">
        <f t="shared" si="20"/>
        <v>0.56429255597440164</v>
      </c>
    </row>
    <row r="91" spans="1:10" x14ac:dyDescent="0.35">
      <c r="A91" s="6">
        <v>83</v>
      </c>
      <c r="B91" s="19" t="str">
        <f>'Data Mentah'!B88</f>
        <v>29/07/2024</v>
      </c>
      <c r="C91" s="19">
        <f>'Data Mentah'!R88</f>
        <v>120</v>
      </c>
      <c r="D91" s="20">
        <f t="shared" si="14"/>
        <v>119.29015477416645</v>
      </c>
      <c r="E91" s="20">
        <f t="shared" si="15"/>
        <v>2.0315219065343917</v>
      </c>
      <c r="F91" s="20">
        <f t="shared" si="16"/>
        <v>112.90154774166452</v>
      </c>
      <c r="G91" s="20">
        <f t="shared" si="17"/>
        <v>7.0984522583354845</v>
      </c>
      <c r="H91" s="20">
        <f t="shared" si="18"/>
        <v>7.0984522583354845</v>
      </c>
      <c r="I91" s="21">
        <f t="shared" si="19"/>
        <v>50.388024463868142</v>
      </c>
      <c r="J91" s="21">
        <f t="shared" si="20"/>
        <v>5.9153768819462371</v>
      </c>
    </row>
    <row r="92" spans="1:10" x14ac:dyDescent="0.35">
      <c r="A92" s="6">
        <v>84</v>
      </c>
      <c r="B92" s="19" t="str">
        <f>'Data Mentah'!B89</f>
        <v>05/08/2024</v>
      </c>
      <c r="C92" s="19">
        <f>'Data Mentah'!R89</f>
        <v>122</v>
      </c>
      <c r="D92" s="20">
        <f t="shared" si="14"/>
        <v>121.93216766807008</v>
      </c>
      <c r="E92" s="20">
        <f t="shared" si="15"/>
        <v>2.3367674002190091</v>
      </c>
      <c r="F92" s="20">
        <f t="shared" si="16"/>
        <v>121.32167668070085</v>
      </c>
      <c r="G92" s="20">
        <f t="shared" si="17"/>
        <v>0.67832331929915313</v>
      </c>
      <c r="H92" s="20">
        <f t="shared" si="18"/>
        <v>0.67832331929915313</v>
      </c>
      <c r="I92" s="21">
        <f t="shared" si="19"/>
        <v>0.46012252550502086</v>
      </c>
      <c r="J92" s="21">
        <f t="shared" si="20"/>
        <v>0.55600272073701074</v>
      </c>
    </row>
    <row r="93" spans="1:10" x14ac:dyDescent="0.35">
      <c r="A93" s="6">
        <v>85</v>
      </c>
      <c r="B93" s="19" t="str">
        <f>'Data Mentah'!B90</f>
        <v>12/08/2024</v>
      </c>
      <c r="C93" s="19">
        <f>'Data Mentah'!R90</f>
        <v>122</v>
      </c>
      <c r="D93" s="20">
        <f t="shared" si="14"/>
        <v>122.2268935068289</v>
      </c>
      <c r="E93" s="20">
        <f t="shared" si="15"/>
        <v>1.3157466194889156</v>
      </c>
      <c r="F93" s="20">
        <f t="shared" si="16"/>
        <v>124.26893506828908</v>
      </c>
      <c r="G93" s="20">
        <f t="shared" si="17"/>
        <v>-2.2689350682890819</v>
      </c>
      <c r="H93" s="20">
        <f t="shared" si="18"/>
        <v>2.2689350682890819</v>
      </c>
      <c r="I93" s="21">
        <f t="shared" si="19"/>
        <v>5.1480663441119807</v>
      </c>
      <c r="J93" s="21">
        <f t="shared" si="20"/>
        <v>1.8597828428599033</v>
      </c>
    </row>
    <row r="94" spans="1:10" x14ac:dyDescent="0.35">
      <c r="A94" s="6">
        <v>86</v>
      </c>
      <c r="B94" s="19" t="str">
        <f>'Data Mentah'!B91</f>
        <v>19/08/2024</v>
      </c>
      <c r="C94" s="19">
        <f>'Data Mentah'!R91</f>
        <v>119</v>
      </c>
      <c r="D94" s="20">
        <f t="shared" si="14"/>
        <v>119.45426401263178</v>
      </c>
      <c r="E94" s="20">
        <f t="shared" si="15"/>
        <v>-0.72844143735410172</v>
      </c>
      <c r="F94" s="20">
        <f t="shared" si="16"/>
        <v>123.54264012631782</v>
      </c>
      <c r="G94" s="20">
        <f t="shared" si="17"/>
        <v>-4.5426401263178207</v>
      </c>
      <c r="H94" s="20">
        <f t="shared" si="18"/>
        <v>4.5426401263178207</v>
      </c>
      <c r="I94" s="21">
        <f t="shared" si="19"/>
        <v>20.635579317232786</v>
      </c>
      <c r="J94" s="21">
        <f t="shared" si="20"/>
        <v>3.8173446439645549</v>
      </c>
    </row>
    <row r="95" spans="1:10" x14ac:dyDescent="0.35">
      <c r="A95" s="6">
        <v>87</v>
      </c>
      <c r="B95" s="19" t="str">
        <f>'Data Mentah'!B92</f>
        <v>26/08/2024</v>
      </c>
      <c r="C95" s="19">
        <f>'Data Mentah'!R92</f>
        <v>118</v>
      </c>
      <c r="D95" s="20">
        <f t="shared" si="14"/>
        <v>118.07258225752777</v>
      </c>
      <c r="E95" s="20">
        <f t="shared" si="15"/>
        <v>-1.0550615962290566</v>
      </c>
      <c r="F95" s="20">
        <f t="shared" si="16"/>
        <v>118.72582257527768</v>
      </c>
      <c r="G95" s="20">
        <f t="shared" si="17"/>
        <v>-0.72582257527767524</v>
      </c>
      <c r="H95" s="20">
        <f t="shared" si="18"/>
        <v>0.72582257527767524</v>
      </c>
      <c r="I95" s="21">
        <f t="shared" si="19"/>
        <v>0.52681841078271652</v>
      </c>
      <c r="J95" s="21">
        <f t="shared" si="20"/>
        <v>0.6151038773539621</v>
      </c>
    </row>
    <row r="96" spans="1:10" x14ac:dyDescent="0.35">
      <c r="A96" s="6">
        <v>88</v>
      </c>
      <c r="B96" s="19" t="str">
        <f>'Data Mentah'!B93</f>
        <v>02/09/2024</v>
      </c>
      <c r="C96" s="19">
        <f>'Data Mentah'!R93</f>
        <v>121</v>
      </c>
      <c r="D96" s="20">
        <f t="shared" si="14"/>
        <v>120.60175206612988</v>
      </c>
      <c r="E96" s="20">
        <f t="shared" si="15"/>
        <v>0.73705410618652456</v>
      </c>
      <c r="F96" s="20">
        <f t="shared" si="16"/>
        <v>117.01752066129872</v>
      </c>
      <c r="G96" s="20">
        <f t="shared" si="17"/>
        <v>3.9824793387012818</v>
      </c>
      <c r="H96" s="20">
        <f t="shared" si="18"/>
        <v>3.9824793387012818</v>
      </c>
      <c r="I96" s="21">
        <f t="shared" si="19"/>
        <v>15.860141683182599</v>
      </c>
      <c r="J96" s="21">
        <f t="shared" si="20"/>
        <v>3.2913052385961006</v>
      </c>
    </row>
    <row r="97" spans="1:10" x14ac:dyDescent="0.35">
      <c r="A97" s="6">
        <v>89</v>
      </c>
      <c r="B97" s="19" t="str">
        <f>'Data Mentah'!B94</f>
        <v>09/09/2024</v>
      </c>
      <c r="C97" s="19">
        <f>'Data Mentah'!R94</f>
        <v>128</v>
      </c>
      <c r="D97" s="20">
        <f t="shared" si="14"/>
        <v>127.33388061723164</v>
      </c>
      <c r="E97" s="20">
        <f t="shared" si="15"/>
        <v>3.7345913286441457</v>
      </c>
      <c r="F97" s="20">
        <f t="shared" si="16"/>
        <v>121.3388061723164</v>
      </c>
      <c r="G97" s="20">
        <f t="shared" si="17"/>
        <v>6.6611938276836042</v>
      </c>
      <c r="H97" s="20">
        <f t="shared" si="18"/>
        <v>6.6611938276836042</v>
      </c>
      <c r="I97" s="21">
        <f t="shared" si="19"/>
        <v>44.371503209970143</v>
      </c>
      <c r="J97" s="21">
        <f t="shared" si="20"/>
        <v>5.2040576778778158</v>
      </c>
    </row>
    <row r="98" spans="1:10" x14ac:dyDescent="0.35">
      <c r="A98" s="6">
        <v>90</v>
      </c>
      <c r="B98" s="19" t="str">
        <f>'Data Mentah'!B95</f>
        <v>16/09/2024</v>
      </c>
      <c r="C98" s="19">
        <f>'Data Mentah'!R95</f>
        <v>124</v>
      </c>
      <c r="D98" s="20">
        <f t="shared" si="14"/>
        <v>124.70684719458758</v>
      </c>
      <c r="E98" s="20">
        <f t="shared" si="15"/>
        <v>0.55377895300004232</v>
      </c>
      <c r="F98" s="20">
        <f t="shared" si="16"/>
        <v>131.06847194587579</v>
      </c>
      <c r="G98" s="20">
        <f t="shared" si="17"/>
        <v>-7.0684719458757854</v>
      </c>
      <c r="H98" s="20">
        <f t="shared" si="18"/>
        <v>7.0684719458757854</v>
      </c>
      <c r="I98" s="21">
        <f t="shared" si="19"/>
        <v>49.963295649633011</v>
      </c>
      <c r="J98" s="21">
        <f t="shared" si="20"/>
        <v>5.7003806015127303</v>
      </c>
    </row>
    <row r="99" spans="1:10" x14ac:dyDescent="0.35">
      <c r="A99" s="6">
        <v>91</v>
      </c>
      <c r="B99" s="19" t="str">
        <f>'Data Mentah'!B96</f>
        <v>23/09/2024</v>
      </c>
      <c r="C99" s="19">
        <f>'Data Mentah'!R96</f>
        <v>120</v>
      </c>
      <c r="D99" s="20">
        <f t="shared" si="14"/>
        <v>120.52606261475876</v>
      </c>
      <c r="E99" s="20">
        <f t="shared" si="15"/>
        <v>-1.8135028134143909</v>
      </c>
      <c r="F99" s="20">
        <f t="shared" si="16"/>
        <v>125.26062614758763</v>
      </c>
      <c r="G99" s="20">
        <f t="shared" si="17"/>
        <v>-5.2606261475876295</v>
      </c>
      <c r="H99" s="20">
        <f t="shared" si="18"/>
        <v>5.2606261475876295</v>
      </c>
      <c r="I99" s="21">
        <f t="shared" si="19"/>
        <v>27.674187464682664</v>
      </c>
      <c r="J99" s="21">
        <f t="shared" si="20"/>
        <v>4.3838551229896909</v>
      </c>
    </row>
    <row r="100" spans="1:10" x14ac:dyDescent="0.35">
      <c r="A100" s="6">
        <v>92</v>
      </c>
      <c r="B100" s="19" t="str">
        <f>'Data Mentah'!B97</f>
        <v>30/09/2024</v>
      </c>
      <c r="C100" s="19">
        <f>'Data Mentah'!R97</f>
        <v>107</v>
      </c>
      <c r="D100" s="20">
        <f t="shared" si="14"/>
        <v>108.17125598013443</v>
      </c>
      <c r="E100" s="20">
        <f t="shared" si="15"/>
        <v>-7.0841547240193581</v>
      </c>
      <c r="F100" s="20">
        <f t="shared" si="16"/>
        <v>118.71255980134437</v>
      </c>
      <c r="G100" s="20">
        <f t="shared" si="17"/>
        <v>-11.712559801344369</v>
      </c>
      <c r="H100" s="20">
        <f t="shared" si="18"/>
        <v>11.712559801344369</v>
      </c>
      <c r="I100" s="21">
        <f t="shared" si="19"/>
        <v>137.18405710006806</v>
      </c>
      <c r="J100" s="21">
        <f t="shared" si="20"/>
        <v>10.946317571349878</v>
      </c>
    </row>
    <row r="101" spans="1:10" x14ac:dyDescent="0.35">
      <c r="A101" s="6">
        <v>93</v>
      </c>
      <c r="B101" s="19" t="str">
        <f>'Data Mentah'!B98</f>
        <v>07/10/2024</v>
      </c>
      <c r="C101" s="19">
        <f>'Data Mentah'!R98</f>
        <v>100</v>
      </c>
      <c r="D101" s="20">
        <f t="shared" si="14"/>
        <v>100.10871012561151</v>
      </c>
      <c r="E101" s="20">
        <f t="shared" si="15"/>
        <v>-7.5733502892711408</v>
      </c>
      <c r="F101" s="20">
        <f t="shared" si="16"/>
        <v>101.08710125611508</v>
      </c>
      <c r="G101" s="20">
        <f t="shared" si="17"/>
        <v>-1.0871012561150764</v>
      </c>
      <c r="H101" s="20">
        <f t="shared" si="18"/>
        <v>1.0871012561150764</v>
      </c>
      <c r="I101" s="21">
        <f t="shared" si="19"/>
        <v>1.1817891410469767</v>
      </c>
      <c r="J101" s="21">
        <f t="shared" si="20"/>
        <v>1.0871012561150764</v>
      </c>
    </row>
    <row r="102" spans="1:10" x14ac:dyDescent="0.35">
      <c r="A102" s="6">
        <v>94</v>
      </c>
      <c r="B102" s="19" t="str">
        <f>'Data Mentah'!B99</f>
        <v>14/10/2024</v>
      </c>
      <c r="C102" s="19">
        <f>'Data Mentah'!R99</f>
        <v>107</v>
      </c>
      <c r="D102" s="20">
        <f t="shared" si="14"/>
        <v>105.55353598363403</v>
      </c>
      <c r="E102" s="20">
        <f t="shared" si="15"/>
        <v>-1.0642622156243076</v>
      </c>
      <c r="F102" s="20">
        <f t="shared" si="16"/>
        <v>92.535359836340362</v>
      </c>
      <c r="G102" s="20">
        <f t="shared" si="17"/>
        <v>14.464640163659638</v>
      </c>
      <c r="H102" s="20">
        <f t="shared" si="18"/>
        <v>14.464640163659638</v>
      </c>
      <c r="I102" s="21">
        <f t="shared" si="19"/>
        <v>209.22581506415551</v>
      </c>
      <c r="J102" s="21">
        <f t="shared" si="20"/>
        <v>13.51835529313985</v>
      </c>
    </row>
    <row r="103" spans="1:10" x14ac:dyDescent="0.35">
      <c r="A103" s="6">
        <v>95</v>
      </c>
      <c r="B103" s="19" t="str">
        <f>'Data Mentah'!B100</f>
        <v>21/10/2024</v>
      </c>
      <c r="C103" s="19">
        <f>'Data Mentah'!R100</f>
        <v>122</v>
      </c>
      <c r="D103" s="20">
        <f t="shared" si="14"/>
        <v>120.24892737680096</v>
      </c>
      <c r="E103" s="20">
        <f t="shared" si="15"/>
        <v>6.815564588771311</v>
      </c>
      <c r="F103" s="20">
        <f t="shared" si="16"/>
        <v>104.48927376800972</v>
      </c>
      <c r="G103" s="20">
        <f t="shared" si="17"/>
        <v>17.510726231990276</v>
      </c>
      <c r="H103" s="20">
        <f t="shared" si="18"/>
        <v>17.510726231990276</v>
      </c>
      <c r="I103" s="21">
        <f t="shared" si="19"/>
        <v>306.62553317171239</v>
      </c>
      <c r="J103" s="21">
        <f t="shared" si="20"/>
        <v>14.353054288516621</v>
      </c>
    </row>
    <row r="104" spans="1:10" x14ac:dyDescent="0.35">
      <c r="A104" s="6">
        <v>96</v>
      </c>
      <c r="B104" s="19" t="str">
        <f>'Data Mentah'!B101</f>
        <v>28/10/2024</v>
      </c>
      <c r="C104" s="19">
        <f>'Data Mentah'!R101</f>
        <v>131</v>
      </c>
      <c r="D104" s="20">
        <f t="shared" si="14"/>
        <v>130.60644919655724</v>
      </c>
      <c r="E104" s="20">
        <f t="shared" si="15"/>
        <v>8.5865432042637906</v>
      </c>
      <c r="F104" s="20">
        <f t="shared" si="16"/>
        <v>127.06449196557227</v>
      </c>
      <c r="G104" s="20">
        <f t="shared" si="17"/>
        <v>3.9355080344277269</v>
      </c>
      <c r="H104" s="20">
        <f t="shared" si="18"/>
        <v>3.9355080344277269</v>
      </c>
      <c r="I104" s="21">
        <f t="shared" si="19"/>
        <v>15.48822348904519</v>
      </c>
      <c r="J104" s="21">
        <f t="shared" si="20"/>
        <v>3.0042046064333796</v>
      </c>
    </row>
    <row r="105" spans="1:10" x14ac:dyDescent="0.35">
      <c r="A105" s="6">
        <v>97</v>
      </c>
      <c r="B105" s="19" t="str">
        <f>'Data Mentah'!B102</f>
        <v>04/11/2024</v>
      </c>
      <c r="C105" s="19">
        <f>'Data Mentah'!R102</f>
        <v>138</v>
      </c>
      <c r="D105" s="20">
        <f t="shared" ref="D105:D136" si="21">$E$4*C105+(1-$E$4)*(D104+E104)</f>
        <v>138.11929924008211</v>
      </c>
      <c r="E105" s="20">
        <f t="shared" ref="E105:E136" si="22">$H$4*(D105-D104)+(1-$H$4)*E104</f>
        <v>8.0496966238943344</v>
      </c>
      <c r="F105" s="20">
        <f t="shared" ref="F105:F113" si="23">D104+E104</f>
        <v>139.19299240082103</v>
      </c>
      <c r="G105" s="20">
        <f t="shared" ref="G105:G136" si="24">C105-F105</f>
        <v>-1.1929924008210264</v>
      </c>
      <c r="H105" s="20">
        <f t="shared" ref="H105:H136" si="25">ABS(G105)</f>
        <v>1.1929924008210264</v>
      </c>
      <c r="I105" s="21">
        <f t="shared" ref="I105:I113" si="26">G105^2</f>
        <v>1.4232308684167165</v>
      </c>
      <c r="J105" s="21">
        <f t="shared" ref="J105:J113" si="27">ABS(G105/C105)*100</f>
        <v>0.86448724697175816</v>
      </c>
    </row>
    <row r="106" spans="1:10" x14ac:dyDescent="0.35">
      <c r="A106" s="6">
        <v>98</v>
      </c>
      <c r="B106" s="19" t="str">
        <f>'Data Mentah'!B103</f>
        <v>11/11/2024</v>
      </c>
      <c r="C106" s="19">
        <f>'Data Mentah'!R103</f>
        <v>140</v>
      </c>
      <c r="D106" s="20">
        <f t="shared" si="21"/>
        <v>140.61689958639764</v>
      </c>
      <c r="E106" s="20">
        <f t="shared" si="22"/>
        <v>5.2736484851049283</v>
      </c>
      <c r="F106" s="20">
        <f t="shared" si="23"/>
        <v>146.16899586397645</v>
      </c>
      <c r="G106" s="20">
        <f t="shared" si="24"/>
        <v>-6.1689958639764484</v>
      </c>
      <c r="H106" s="20">
        <f t="shared" si="25"/>
        <v>6.1689958639764484</v>
      </c>
      <c r="I106" s="21">
        <f t="shared" si="26"/>
        <v>38.05650996975853</v>
      </c>
      <c r="J106" s="21">
        <f t="shared" si="27"/>
        <v>4.4064256171260343</v>
      </c>
    </row>
    <row r="107" spans="1:10" x14ac:dyDescent="0.35">
      <c r="A107" s="6">
        <v>99</v>
      </c>
      <c r="B107" s="19" t="str">
        <f>'Data Mentah'!B104</f>
        <v>18/11/2024</v>
      </c>
      <c r="C107" s="19">
        <f>'Data Mentah'!R104</f>
        <v>127</v>
      </c>
      <c r="D107" s="20">
        <f t="shared" si="21"/>
        <v>128.88905480715025</v>
      </c>
      <c r="E107" s="20">
        <f t="shared" si="22"/>
        <v>-3.2270981470712314</v>
      </c>
      <c r="F107" s="20">
        <f t="shared" si="23"/>
        <v>145.89054807150256</v>
      </c>
      <c r="G107" s="20">
        <f t="shared" si="24"/>
        <v>-18.890548071502565</v>
      </c>
      <c r="H107" s="20">
        <f t="shared" si="25"/>
        <v>18.890548071502565</v>
      </c>
      <c r="I107" s="21">
        <f t="shared" si="26"/>
        <v>356.85280644174924</v>
      </c>
      <c r="J107" s="21">
        <f t="shared" si="27"/>
        <v>14.874447300395721</v>
      </c>
    </row>
    <row r="108" spans="1:10" x14ac:dyDescent="0.35">
      <c r="A108" s="6">
        <v>100</v>
      </c>
      <c r="B108" s="19" t="str">
        <f>'Data Mentah'!B105</f>
        <v>25/11/2024</v>
      </c>
      <c r="C108" s="19">
        <f>'Data Mentah'!R105</f>
        <v>126</v>
      </c>
      <c r="D108" s="20">
        <f t="shared" si="21"/>
        <v>125.96619566600791</v>
      </c>
      <c r="E108" s="20">
        <f t="shared" si="22"/>
        <v>-3.0749786441067855</v>
      </c>
      <c r="F108" s="20">
        <f t="shared" si="23"/>
        <v>125.66195666007901</v>
      </c>
      <c r="G108" s="20">
        <f t="shared" si="24"/>
        <v>0.33804333992098634</v>
      </c>
      <c r="H108" s="20">
        <f t="shared" si="25"/>
        <v>0.33804333992098634</v>
      </c>
      <c r="I108" s="21">
        <f t="shared" si="26"/>
        <v>0.11427329966493552</v>
      </c>
      <c r="J108" s="21">
        <f t="shared" si="27"/>
        <v>0.26828836501665582</v>
      </c>
    </row>
    <row r="109" spans="1:10" x14ac:dyDescent="0.35">
      <c r="A109" s="6">
        <v>101</v>
      </c>
      <c r="B109" s="19" t="str">
        <f>'Data Mentah'!B106</f>
        <v>02/12/2024</v>
      </c>
      <c r="C109" s="19">
        <f>'Data Mentah'!R106</f>
        <v>116</v>
      </c>
      <c r="D109" s="20">
        <f t="shared" si="21"/>
        <v>116.68912170219012</v>
      </c>
      <c r="E109" s="20">
        <f t="shared" si="22"/>
        <v>-6.1760263039622849</v>
      </c>
      <c r="F109" s="20">
        <f t="shared" si="23"/>
        <v>122.89121702190113</v>
      </c>
      <c r="G109" s="20">
        <f t="shared" si="24"/>
        <v>-6.8912170219011273</v>
      </c>
      <c r="H109" s="20">
        <f t="shared" si="25"/>
        <v>6.8912170219011273</v>
      </c>
      <c r="I109" s="21">
        <f t="shared" si="26"/>
        <v>47.488872042939839</v>
      </c>
      <c r="J109" s="21">
        <f t="shared" si="27"/>
        <v>5.9407043292251096</v>
      </c>
    </row>
    <row r="110" spans="1:10" x14ac:dyDescent="0.35">
      <c r="A110" s="6">
        <v>102</v>
      </c>
      <c r="B110" s="19" t="str">
        <f>'Data Mentah'!B107</f>
        <v>09/12/2024</v>
      </c>
      <c r="C110" s="19">
        <f>'Data Mentah'!R107</f>
        <v>111</v>
      </c>
      <c r="D110" s="20">
        <f t="shared" si="21"/>
        <v>110.95130953982279</v>
      </c>
      <c r="E110" s="20">
        <f t="shared" si="22"/>
        <v>-5.9569192331648093</v>
      </c>
      <c r="F110" s="20">
        <f t="shared" si="23"/>
        <v>110.51309539822783</v>
      </c>
      <c r="G110" s="20">
        <f t="shared" si="24"/>
        <v>0.48690460177216721</v>
      </c>
      <c r="H110" s="20">
        <f t="shared" si="25"/>
        <v>0.48690460177216721</v>
      </c>
      <c r="I110" s="21">
        <f t="shared" si="26"/>
        <v>0.23707609122691273</v>
      </c>
      <c r="J110" s="21">
        <f t="shared" si="27"/>
        <v>0.43865279438933985</v>
      </c>
    </row>
    <row r="111" spans="1:10" x14ac:dyDescent="0.35">
      <c r="A111" s="6">
        <v>103</v>
      </c>
      <c r="B111" s="19" t="str">
        <f>'Data Mentah'!B108</f>
        <v>16/12/2024</v>
      </c>
      <c r="C111" s="19">
        <f>'Data Mentah'!R108</f>
        <v>116</v>
      </c>
      <c r="D111" s="20">
        <f t="shared" si="21"/>
        <v>114.8994390306658</v>
      </c>
      <c r="E111" s="20">
        <f t="shared" si="22"/>
        <v>-1.0043948711608968</v>
      </c>
      <c r="F111" s="20">
        <f t="shared" si="23"/>
        <v>104.99439030665798</v>
      </c>
      <c r="G111" s="20">
        <f t="shared" si="24"/>
        <v>11.005609693342024</v>
      </c>
      <c r="H111" s="20">
        <f t="shared" si="25"/>
        <v>11.005609693342024</v>
      </c>
      <c r="I111" s="21">
        <f t="shared" si="26"/>
        <v>121.1234447221839</v>
      </c>
      <c r="J111" s="21">
        <f t="shared" si="27"/>
        <v>9.4875945632258816</v>
      </c>
    </row>
    <row r="112" spans="1:10" x14ac:dyDescent="0.35">
      <c r="A112" s="6">
        <v>104</v>
      </c>
      <c r="B112" s="19" t="str">
        <f>'Data Mentah'!B109</f>
        <v>23/12/2024</v>
      </c>
      <c r="C112" s="19">
        <f>'Data Mentah'!R109</f>
        <v>122</v>
      </c>
      <c r="D112" s="20">
        <f t="shared" si="21"/>
        <v>121.18950441595048</v>
      </c>
      <c r="E112" s="20">
        <f t="shared" si="22"/>
        <v>2.6428352570618903</v>
      </c>
      <c r="F112" s="20">
        <f t="shared" si="23"/>
        <v>113.89504415950491</v>
      </c>
      <c r="G112" s="20">
        <f t="shared" si="24"/>
        <v>8.1049558404950943</v>
      </c>
      <c r="H112" s="20">
        <f t="shared" si="25"/>
        <v>8.1049558404950943</v>
      </c>
      <c r="I112" s="21">
        <f t="shared" si="26"/>
        <v>65.690309176375536</v>
      </c>
      <c r="J112" s="21">
        <f t="shared" si="27"/>
        <v>6.6434064266353232</v>
      </c>
    </row>
    <row r="113" spans="1:10" x14ac:dyDescent="0.35">
      <c r="A113" s="6">
        <v>105</v>
      </c>
      <c r="B113" s="19" t="str">
        <f>'Data Mentah'!B110</f>
        <v>30/12/2024</v>
      </c>
      <c r="C113" s="19">
        <f>'Data Mentah'!R110</f>
        <v>111</v>
      </c>
      <c r="D113" s="20">
        <f t="shared" si="21"/>
        <v>112.28323396730124</v>
      </c>
      <c r="E113" s="20">
        <f t="shared" si="22"/>
        <v>-3.131717595793674</v>
      </c>
      <c r="F113" s="20">
        <f t="shared" si="23"/>
        <v>123.83233967301237</v>
      </c>
      <c r="G113" s="20">
        <f t="shared" si="24"/>
        <v>-12.83233967301237</v>
      </c>
      <c r="H113" s="20">
        <f t="shared" si="25"/>
        <v>12.83233967301237</v>
      </c>
      <c r="I113" s="21">
        <f t="shared" si="26"/>
        <v>164.66894148356724</v>
      </c>
      <c r="J113" s="21">
        <f t="shared" si="27"/>
        <v>11.560666372083217</v>
      </c>
    </row>
    <row r="115" spans="1:10" x14ac:dyDescent="0.35">
      <c r="A115" s="2" t="s">
        <v>178</v>
      </c>
      <c r="B115" s="2"/>
      <c r="C115" s="2"/>
      <c r="D115" s="2"/>
    </row>
    <row r="116" spans="1:10" x14ac:dyDescent="0.35">
      <c r="A116" s="1" t="s">
        <v>179</v>
      </c>
      <c r="B116" s="1"/>
      <c r="C116" s="1"/>
      <c r="D116" s="22">
        <f>AVERAGE(H93:H113)</f>
        <v>6.9110624297149412</v>
      </c>
    </row>
    <row r="117" spans="1:10" x14ac:dyDescent="0.35">
      <c r="A117" s="1" t="s">
        <v>180</v>
      </c>
      <c r="B117" s="1"/>
      <c r="C117" s="1"/>
      <c r="D117" s="22">
        <f>AVERAGE(I93:I113)</f>
        <v>77.597165435309847</v>
      </c>
    </row>
    <row r="118" spans="1:10" x14ac:dyDescent="0.35">
      <c r="A118" s="1" t="s">
        <v>181</v>
      </c>
      <c r="B118" s="1"/>
      <c r="C118" s="1"/>
      <c r="D118" s="23">
        <f>AVERAGE(J93:J113)</f>
        <v>5.8221683826561241</v>
      </c>
    </row>
    <row r="119" spans="1:10" x14ac:dyDescent="0.35">
      <c r="A119" s="1" t="s">
        <v>182</v>
      </c>
      <c r="B119" s="1"/>
      <c r="C119" s="1"/>
      <c r="D119" s="24" t="str">
        <f>IF(D118&lt;10,"Sangat Baik",IF(D118&lt;20,"Baik",IF(D118&lt;=50,"Cukup","Rendah")))</f>
        <v>Sangat Baik</v>
      </c>
    </row>
    <row r="120" spans="1:10" x14ac:dyDescent="0.35">
      <c r="A120" s="1" t="s">
        <v>183</v>
      </c>
      <c r="B120" s="1"/>
      <c r="C120" s="1"/>
      <c r="D120" s="23">
        <f>D113+E113</f>
        <v>109.15151637150757</v>
      </c>
    </row>
    <row r="121" spans="1:10" x14ac:dyDescent="0.35">
      <c r="A121" s="1" t="s">
        <v>184</v>
      </c>
      <c r="B121" s="1"/>
      <c r="C121" s="1"/>
      <c r="D121" s="23">
        <f>AVERAGE(C9:C113)</f>
        <v>118.36190476190477</v>
      </c>
    </row>
  </sheetData>
  <mergeCells count="9">
    <mergeCell ref="A118:C118"/>
    <mergeCell ref="A119:C119"/>
    <mergeCell ref="A120:C120"/>
    <mergeCell ref="A121:C121"/>
    <mergeCell ref="A1:J1"/>
    <mergeCell ref="A2:J2"/>
    <mergeCell ref="A115:D115"/>
    <mergeCell ref="A116:C116"/>
    <mergeCell ref="A117:C117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13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4" customWidth="1"/>
    <col min="2" max="2" width="22" customWidth="1"/>
    <col min="3" max="6" width="10" customWidth="1"/>
    <col min="7" max="7" width="11" customWidth="1"/>
    <col min="8" max="8" width="12" customWidth="1"/>
  </cols>
  <sheetData>
    <row r="1" spans="1:8" ht="18" x14ac:dyDescent="0.4">
      <c r="A1" s="3" t="s">
        <v>193</v>
      </c>
      <c r="B1" s="3"/>
      <c r="C1" s="3"/>
      <c r="D1" s="3"/>
      <c r="E1" s="3"/>
      <c r="F1" s="3"/>
      <c r="G1" s="3"/>
      <c r="H1" s="3"/>
    </row>
    <row r="2" spans="1:8" ht="22.4" customHeight="1" x14ac:dyDescent="0.35">
      <c r="A2" s="4" t="s">
        <v>194</v>
      </c>
      <c r="B2" s="4"/>
      <c r="C2" s="4"/>
      <c r="D2" s="4"/>
      <c r="E2" s="4"/>
      <c r="F2" s="4"/>
      <c r="G2" s="4"/>
      <c r="H2" s="4"/>
    </row>
    <row r="4" spans="1:8" x14ac:dyDescent="0.35">
      <c r="A4" s="5" t="s">
        <v>0</v>
      </c>
      <c r="B4" s="5" t="s">
        <v>129</v>
      </c>
      <c r="C4" s="5" t="s">
        <v>195</v>
      </c>
      <c r="D4" s="5" t="s">
        <v>196</v>
      </c>
      <c r="E4" s="5" t="s">
        <v>197</v>
      </c>
      <c r="F4" s="5" t="s">
        <v>198</v>
      </c>
      <c r="G4" s="5" t="s">
        <v>199</v>
      </c>
      <c r="H4" s="5" t="s">
        <v>200</v>
      </c>
    </row>
    <row r="5" spans="1:8" x14ac:dyDescent="0.35">
      <c r="A5" s="6">
        <v>1</v>
      </c>
      <c r="B5" s="7" t="s">
        <v>5</v>
      </c>
      <c r="C5" s="25">
        <f>DES_Afolat!E4</f>
        <v>0.9</v>
      </c>
      <c r="D5" s="25">
        <f>DES_Afolat!H4</f>
        <v>0.1</v>
      </c>
      <c r="E5" s="26">
        <f>DES_Afolat!D116</f>
        <v>5.7940028164840918</v>
      </c>
      <c r="F5" s="26">
        <f>DES_Afolat!D117</f>
        <v>55.511981760418664</v>
      </c>
      <c r="G5" s="27">
        <f>DES_Afolat!D118</f>
        <v>4.9199931631611538</v>
      </c>
      <c r="H5" s="19" t="str">
        <f>DES_Afolat!D119</f>
        <v>Sangat Baik</v>
      </c>
    </row>
    <row r="6" spans="1:8" x14ac:dyDescent="0.35">
      <c r="A6" s="6">
        <v>2</v>
      </c>
      <c r="B6" s="7" t="s">
        <v>7</v>
      </c>
      <c r="C6" s="25">
        <f>DES_Amoxicillin!E4</f>
        <v>0.1</v>
      </c>
      <c r="D6" s="25">
        <f>DES_Amoxicillin!H4</f>
        <v>0.3</v>
      </c>
      <c r="E6" s="26">
        <f>DES_Amoxicillin!D116</f>
        <v>6.351540684084652</v>
      </c>
      <c r="F6" s="26">
        <f>DES_Amoxicillin!D117</f>
        <v>61.202656573540558</v>
      </c>
      <c r="G6" s="27">
        <f>DES_Amoxicillin!D118</f>
        <v>5.6328215545348428</v>
      </c>
      <c r="H6" s="19" t="str">
        <f>DES_Amoxicillin!D119</f>
        <v>Sangat Baik</v>
      </c>
    </row>
    <row r="7" spans="1:8" x14ac:dyDescent="0.35">
      <c r="A7" s="6">
        <v>3</v>
      </c>
      <c r="B7" s="7" t="s">
        <v>20</v>
      </c>
      <c r="C7" s="25">
        <f>'DES_Apialys Syrup'!E4</f>
        <v>0.9</v>
      </c>
      <c r="D7" s="25">
        <f>'DES_Apialys Syrup'!H4</f>
        <v>0.5</v>
      </c>
      <c r="E7" s="26">
        <f>'DES_Apialys Syrup'!D116</f>
        <v>6.9110624297149412</v>
      </c>
      <c r="F7" s="26">
        <f>'DES_Apialys Syrup'!D117</f>
        <v>77.597165435309847</v>
      </c>
      <c r="G7" s="27">
        <f>'DES_Apialys Syrup'!D118</f>
        <v>5.8221683826561241</v>
      </c>
      <c r="H7" s="19" t="str">
        <f>'DES_Apialys Syrup'!D119</f>
        <v>Sangat Baik</v>
      </c>
    </row>
    <row r="8" spans="1:8" x14ac:dyDescent="0.35">
      <c r="A8" s="6">
        <v>4</v>
      </c>
      <c r="B8" s="7" t="s">
        <v>6</v>
      </c>
      <c r="C8" s="25">
        <f>'DES_Asam Mefenamat'!E4</f>
        <v>0.4</v>
      </c>
      <c r="D8" s="25">
        <f>'DES_Asam Mefenamat'!H4</f>
        <v>0.1</v>
      </c>
      <c r="E8" s="26">
        <f>'DES_Asam Mefenamat'!D116</f>
        <v>7.37380891758019</v>
      </c>
      <c r="F8" s="26">
        <f>'DES_Asam Mefenamat'!D117</f>
        <v>90.098433528322929</v>
      </c>
      <c r="G8" s="27">
        <f>'DES_Asam Mefenamat'!D118</f>
        <v>6.358696152129216</v>
      </c>
      <c r="H8" s="19" t="str">
        <f>'DES_Asam Mefenamat'!D119</f>
        <v>Sangat Baik</v>
      </c>
    </row>
    <row r="9" spans="1:8" x14ac:dyDescent="0.35">
      <c r="A9" s="6">
        <v>5</v>
      </c>
      <c r="B9" s="7" t="s">
        <v>19</v>
      </c>
      <c r="C9" s="25">
        <f>'DES_Epexol Syrup'!E4</f>
        <v>0.8</v>
      </c>
      <c r="D9" s="25">
        <f>'DES_Epexol Syrup'!H4</f>
        <v>0.1</v>
      </c>
      <c r="E9" s="26">
        <f>'DES_Epexol Syrup'!D116</f>
        <v>5.2815633937435065</v>
      </c>
      <c r="F9" s="26">
        <f>'DES_Epexol Syrup'!D117</f>
        <v>77.118357805083747</v>
      </c>
      <c r="G9" s="27">
        <f>'DES_Epexol Syrup'!D118</f>
        <v>4.3473496123068349</v>
      </c>
      <c r="H9" s="19" t="str">
        <f>'DES_Epexol Syrup'!D119</f>
        <v>Sangat Baik</v>
      </c>
    </row>
    <row r="10" spans="1:8" x14ac:dyDescent="0.35">
      <c r="A10" s="6">
        <v>6</v>
      </c>
      <c r="B10" s="7" t="s">
        <v>9</v>
      </c>
      <c r="C10" s="25">
        <f>'DES_Gentamicin Injeksi'!E4</f>
        <v>0.1</v>
      </c>
      <c r="D10" s="25">
        <f>'DES_Gentamicin Injeksi'!H4</f>
        <v>0.2</v>
      </c>
      <c r="E10" s="26">
        <f>'DES_Gentamicin Injeksi'!D116</f>
        <v>5.0520346998957786</v>
      </c>
      <c r="F10" s="26">
        <f>'DES_Gentamicin Injeksi'!D117</f>
        <v>53.647868738128075</v>
      </c>
      <c r="G10" s="27">
        <f>'DES_Gentamicin Injeksi'!D118</f>
        <v>4.5554672775342633</v>
      </c>
      <c r="H10" s="19" t="str">
        <f>'DES_Gentamicin Injeksi'!D119</f>
        <v>Sangat Baik</v>
      </c>
    </row>
    <row r="11" spans="1:8" x14ac:dyDescent="0.35">
      <c r="A11" s="6">
        <v>7</v>
      </c>
      <c r="B11" s="7" t="s">
        <v>8</v>
      </c>
      <c r="C11" s="25">
        <f>DES_Naturoksi!E4</f>
        <v>0.9</v>
      </c>
      <c r="D11" s="25">
        <f>DES_Naturoksi!H4</f>
        <v>0.1</v>
      </c>
      <c r="E11" s="26">
        <f>DES_Naturoksi!D116</f>
        <v>6.3351948979352501</v>
      </c>
      <c r="F11" s="26">
        <f>DES_Naturoksi!D117</f>
        <v>97.291857744662437</v>
      </c>
      <c r="G11" s="27">
        <f>DES_Naturoksi!D118</f>
        <v>5.4497205905270114</v>
      </c>
      <c r="H11" s="19" t="str">
        <f>DES_Naturoksi!D119</f>
        <v>Sangat Baik</v>
      </c>
    </row>
    <row r="12" spans="1:8" x14ac:dyDescent="0.35">
      <c r="A12" s="6">
        <v>8</v>
      </c>
      <c r="B12" s="7" t="s">
        <v>11</v>
      </c>
      <c r="C12" s="25">
        <f>'DES_Nazovel Suppositoria'!E4</f>
        <v>0.9</v>
      </c>
      <c r="D12" s="25">
        <f>'DES_Nazovel Suppositoria'!H4</f>
        <v>0.1</v>
      </c>
      <c r="E12" s="26">
        <f>'DES_Nazovel Suppositoria'!D116</f>
        <v>6.6742092727999367</v>
      </c>
      <c r="F12" s="26">
        <f>'DES_Nazovel Suppositoria'!D117</f>
        <v>71.520529010538596</v>
      </c>
      <c r="G12" s="27">
        <f>'DES_Nazovel Suppositoria'!D118</f>
        <v>5.5075310646740929</v>
      </c>
      <c r="H12" s="19" t="str">
        <f>'DES_Nazovel Suppositoria'!D119</f>
        <v>Sangat Baik</v>
      </c>
    </row>
    <row r="13" spans="1:8" x14ac:dyDescent="0.35">
      <c r="A13" s="6">
        <v>9</v>
      </c>
      <c r="B13" s="7" t="s">
        <v>10</v>
      </c>
      <c r="C13" s="25">
        <f>'DES_Tramadol Injeksi'!E4</f>
        <v>0.9</v>
      </c>
      <c r="D13" s="25">
        <f>'DES_Tramadol Injeksi'!H4</f>
        <v>0.9</v>
      </c>
      <c r="E13" s="26">
        <f>'DES_Tramadol Injeksi'!D116</f>
        <v>5.3232395470222889</v>
      </c>
      <c r="F13" s="26">
        <f>'DES_Tramadol Injeksi'!D117</f>
        <v>41.920842152271334</v>
      </c>
      <c r="G13" s="27">
        <f>'DES_Tramadol Injeksi'!D118</f>
        <v>4.6344085191668078</v>
      </c>
      <c r="H13" s="19" t="str">
        <f>'DES_Tramadol Injeksi'!D119</f>
        <v>Sangat Baik</v>
      </c>
    </row>
  </sheetData>
  <mergeCells count="2">
    <mergeCell ref="A1:H1"/>
    <mergeCell ref="A2:H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11"/>
  <sheetViews>
    <sheetView zoomScaleNormal="100" workbookViewId="0"/>
  </sheetViews>
  <sheetFormatPr defaultColWidth="8.6328125" defaultRowHeight="14.5" x14ac:dyDescent="0.35"/>
  <cols>
    <col min="1" max="1" width="4" customWidth="1"/>
    <col min="2" max="2" width="24" customWidth="1"/>
    <col min="3" max="3" width="22" customWidth="1"/>
    <col min="4" max="5" width="8" customWidth="1"/>
    <col min="6" max="6" width="10" customWidth="1"/>
    <col min="7" max="7" width="11" customWidth="1"/>
  </cols>
  <sheetData>
    <row r="1" spans="1:7" ht="18" x14ac:dyDescent="0.4">
      <c r="A1" s="3" t="s">
        <v>201</v>
      </c>
      <c r="B1" s="3"/>
      <c r="C1" s="3"/>
      <c r="D1" s="3"/>
      <c r="E1" s="3"/>
      <c r="F1" s="3"/>
      <c r="G1" s="3"/>
    </row>
    <row r="2" spans="1:7" ht="22.4" customHeight="1" x14ac:dyDescent="0.35">
      <c r="A2" s="4" t="s">
        <v>202</v>
      </c>
      <c r="B2" s="4"/>
      <c r="C2" s="4"/>
      <c r="D2" s="4"/>
      <c r="E2" s="4"/>
      <c r="F2" s="4"/>
      <c r="G2" s="4"/>
    </row>
    <row r="4" spans="1:7" x14ac:dyDescent="0.35">
      <c r="A4" s="5" t="s">
        <v>0</v>
      </c>
      <c r="B4" s="5" t="s">
        <v>129</v>
      </c>
      <c r="C4" s="5" t="s">
        <v>203</v>
      </c>
      <c r="D4" s="5" t="s">
        <v>204</v>
      </c>
      <c r="E4" s="5" t="s">
        <v>205</v>
      </c>
      <c r="F4" s="5" t="s">
        <v>197</v>
      </c>
      <c r="G4" s="5" t="s">
        <v>199</v>
      </c>
    </row>
    <row r="5" spans="1:7" x14ac:dyDescent="0.35">
      <c r="A5" s="6">
        <v>1</v>
      </c>
      <c r="B5" s="7" t="s">
        <v>12</v>
      </c>
      <c r="C5" s="7" t="s">
        <v>5</v>
      </c>
      <c r="D5" s="25">
        <f>'Tabel 4.6 Parameter Terbaik'!C5</f>
        <v>0.9</v>
      </c>
      <c r="E5" s="25">
        <f>'Tabel 4.6 Parameter Terbaik'!D5</f>
        <v>0.1</v>
      </c>
      <c r="F5" s="26">
        <f>'Tabel 4.6 Parameter Terbaik'!E5</f>
        <v>5.7940028164840918</v>
      </c>
      <c r="G5" s="27">
        <f>'Tabel 4.6 Parameter Terbaik'!G5</f>
        <v>4.9199931631611538</v>
      </c>
    </row>
    <row r="6" spans="1:7" x14ac:dyDescent="0.35">
      <c r="A6" s="6">
        <v>2</v>
      </c>
      <c r="B6" s="7" t="s">
        <v>13</v>
      </c>
      <c r="C6" s="7" t="s">
        <v>6</v>
      </c>
      <c r="D6" s="25">
        <f>'Tabel 4.6 Parameter Terbaik'!C8</f>
        <v>0.4</v>
      </c>
      <c r="E6" s="25">
        <f>'Tabel 4.6 Parameter Terbaik'!D8</f>
        <v>0.1</v>
      </c>
      <c r="F6" s="26">
        <f>'Tabel 4.6 Parameter Terbaik'!E8</f>
        <v>7.37380891758019</v>
      </c>
      <c r="G6" s="27">
        <f>'Tabel 4.6 Parameter Terbaik'!G8</f>
        <v>6.358696152129216</v>
      </c>
    </row>
    <row r="7" spans="1:7" x14ac:dyDescent="0.35">
      <c r="A7" s="6">
        <v>3</v>
      </c>
      <c r="B7" s="7" t="s">
        <v>14</v>
      </c>
      <c r="C7" s="7" t="s">
        <v>7</v>
      </c>
      <c r="D7" s="25">
        <f>'Tabel 4.6 Parameter Terbaik'!C6</f>
        <v>0.1</v>
      </c>
      <c r="E7" s="25">
        <f>'Tabel 4.6 Parameter Terbaik'!D6</f>
        <v>0.3</v>
      </c>
      <c r="F7" s="26">
        <f>'Tabel 4.6 Parameter Terbaik'!E6</f>
        <v>6.351540684084652</v>
      </c>
      <c r="G7" s="27">
        <f>'Tabel 4.6 Parameter Terbaik'!G6</f>
        <v>5.6328215545348428</v>
      </c>
    </row>
    <row r="8" spans="1:7" x14ac:dyDescent="0.35">
      <c r="A8" s="6">
        <v>4</v>
      </c>
      <c r="B8" s="7" t="s">
        <v>15</v>
      </c>
      <c r="C8" s="7" t="s">
        <v>8</v>
      </c>
      <c r="D8" s="25">
        <f>'Tabel 4.6 Parameter Terbaik'!C11</f>
        <v>0.9</v>
      </c>
      <c r="E8" s="25">
        <f>'Tabel 4.6 Parameter Terbaik'!D11</f>
        <v>0.1</v>
      </c>
      <c r="F8" s="26">
        <f>'Tabel 4.6 Parameter Terbaik'!E11</f>
        <v>6.3351948979352501</v>
      </c>
      <c r="G8" s="27">
        <f>'Tabel 4.6 Parameter Terbaik'!G11</f>
        <v>5.4497205905270114</v>
      </c>
    </row>
    <row r="9" spans="1:7" x14ac:dyDescent="0.35">
      <c r="A9" s="6">
        <v>5</v>
      </c>
      <c r="B9" s="7" t="s">
        <v>16</v>
      </c>
      <c r="C9" s="7" t="s">
        <v>9</v>
      </c>
      <c r="D9" s="25">
        <f>'Tabel 4.6 Parameter Terbaik'!C10</f>
        <v>0.1</v>
      </c>
      <c r="E9" s="25">
        <f>'Tabel 4.6 Parameter Terbaik'!D10</f>
        <v>0.2</v>
      </c>
      <c r="F9" s="26">
        <f>'Tabel 4.6 Parameter Terbaik'!E10</f>
        <v>5.0520346998957786</v>
      </c>
      <c r="G9" s="27">
        <f>'Tabel 4.6 Parameter Terbaik'!G10</f>
        <v>4.5554672775342633</v>
      </c>
    </row>
    <row r="10" spans="1:7" x14ac:dyDescent="0.35">
      <c r="A10" s="6">
        <v>6</v>
      </c>
      <c r="B10" s="7" t="s">
        <v>17</v>
      </c>
      <c r="C10" s="7" t="s">
        <v>10</v>
      </c>
      <c r="D10" s="25">
        <f>'Tabel 4.6 Parameter Terbaik'!C13</f>
        <v>0.9</v>
      </c>
      <c r="E10" s="25">
        <f>'Tabel 4.6 Parameter Terbaik'!D13</f>
        <v>0.9</v>
      </c>
      <c r="F10" s="26">
        <f>'Tabel 4.6 Parameter Terbaik'!E13</f>
        <v>5.3232395470222889</v>
      </c>
      <c r="G10" s="27">
        <f>'Tabel 4.6 Parameter Terbaik'!G13</f>
        <v>4.6344085191668078</v>
      </c>
    </row>
    <row r="11" spans="1:7" x14ac:dyDescent="0.35">
      <c r="A11" s="6">
        <v>7</v>
      </c>
      <c r="B11" s="7" t="s">
        <v>18</v>
      </c>
      <c r="C11" s="7" t="s">
        <v>11</v>
      </c>
      <c r="D11" s="25">
        <f>'Tabel 4.6 Parameter Terbaik'!C12</f>
        <v>0.9</v>
      </c>
      <c r="E11" s="25">
        <f>'Tabel 4.6 Parameter Terbaik'!D12</f>
        <v>0.1</v>
      </c>
      <c r="F11" s="26">
        <f>'Tabel 4.6 Parameter Terbaik'!E12</f>
        <v>6.6742092727999367</v>
      </c>
      <c r="G11" s="27">
        <f>'Tabel 4.6 Parameter Terbaik'!G12</f>
        <v>5.5075310646740929</v>
      </c>
    </row>
  </sheetData>
  <mergeCells count="2">
    <mergeCell ref="A1:G1"/>
    <mergeCell ref="A2:G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13"/>
  <sheetViews>
    <sheetView zoomScaleNormal="100" workbookViewId="0"/>
  </sheetViews>
  <sheetFormatPr defaultColWidth="8.6328125" defaultRowHeight="14.5" x14ac:dyDescent="0.35"/>
  <cols>
    <col min="1" max="1" width="4" customWidth="1"/>
    <col min="2" max="2" width="22" customWidth="1"/>
    <col min="3" max="3" width="16" customWidth="1"/>
    <col min="4" max="4" width="20" customWidth="1"/>
    <col min="5" max="5" width="10" customWidth="1"/>
    <col min="6" max="6" width="13" customWidth="1"/>
  </cols>
  <sheetData>
    <row r="1" spans="1:6" ht="18" x14ac:dyDescent="0.4">
      <c r="A1" s="3" t="s">
        <v>206</v>
      </c>
      <c r="B1" s="3"/>
      <c r="C1" s="3"/>
      <c r="D1" s="3"/>
      <c r="E1" s="3"/>
      <c r="F1" s="3"/>
    </row>
    <row r="2" spans="1:6" ht="15" customHeight="1" x14ac:dyDescent="0.35">
      <c r="A2" s="4" t="s">
        <v>207</v>
      </c>
      <c r="B2" s="4"/>
      <c r="C2" s="4"/>
      <c r="D2" s="4"/>
      <c r="E2" s="4"/>
      <c r="F2" s="4"/>
    </row>
    <row r="4" spans="1:6" ht="26" x14ac:dyDescent="0.35">
      <c r="A4" s="5" t="s">
        <v>0</v>
      </c>
      <c r="B4" s="5" t="s">
        <v>129</v>
      </c>
      <c r="C4" s="5" t="s">
        <v>208</v>
      </c>
      <c r="D4" s="5" t="s">
        <v>183</v>
      </c>
      <c r="E4" s="5" t="s">
        <v>209</v>
      </c>
      <c r="F4" s="5" t="s">
        <v>210</v>
      </c>
    </row>
    <row r="5" spans="1:6" x14ac:dyDescent="0.35">
      <c r="A5" s="6">
        <v>1</v>
      </c>
      <c r="B5" s="7" t="s">
        <v>5</v>
      </c>
      <c r="C5" s="27">
        <f>DES_Afolat!D121</f>
        <v>116.74285714285715</v>
      </c>
      <c r="D5" s="27">
        <f>DES_Afolat!D120</f>
        <v>109.91358643710512</v>
      </c>
      <c r="E5" s="21">
        <f t="shared" ref="E5:E13" si="0">D5-C5</f>
        <v>-6.8292707057520232</v>
      </c>
      <c r="F5" s="19" t="str">
        <f>DES_Afolat!D119</f>
        <v>Sangat Baik</v>
      </c>
    </row>
    <row r="6" spans="1:6" x14ac:dyDescent="0.35">
      <c r="A6" s="6">
        <v>2</v>
      </c>
      <c r="B6" s="7" t="s">
        <v>7</v>
      </c>
      <c r="C6" s="27">
        <f>DES_Amoxicillin!D121</f>
        <v>116.49523809523809</v>
      </c>
      <c r="D6" s="27">
        <f>DES_Amoxicillin!D120</f>
        <v>114.0778419968655</v>
      </c>
      <c r="E6" s="21">
        <f t="shared" si="0"/>
        <v>-2.417396098372592</v>
      </c>
      <c r="F6" s="19" t="str">
        <f>DES_Amoxicillin!D119</f>
        <v>Sangat Baik</v>
      </c>
    </row>
    <row r="7" spans="1:6" x14ac:dyDescent="0.35">
      <c r="A7" s="6">
        <v>3</v>
      </c>
      <c r="B7" s="7" t="s">
        <v>20</v>
      </c>
      <c r="C7" s="27">
        <f>'DES_Apialys Syrup'!D121</f>
        <v>118.36190476190477</v>
      </c>
      <c r="D7" s="27">
        <f>'DES_Apialys Syrup'!D120</f>
        <v>109.15151637150757</v>
      </c>
      <c r="E7" s="21">
        <f t="shared" si="0"/>
        <v>-9.210388390397199</v>
      </c>
      <c r="F7" s="19" t="str">
        <f>'DES_Apialys Syrup'!D119</f>
        <v>Sangat Baik</v>
      </c>
    </row>
    <row r="8" spans="1:6" x14ac:dyDescent="0.35">
      <c r="A8" s="6">
        <v>4</v>
      </c>
      <c r="B8" s="7" t="s">
        <v>6</v>
      </c>
      <c r="C8" s="27">
        <f>'DES_Asam Mefenamat'!D121</f>
        <v>116.41904761904762</v>
      </c>
      <c r="D8" s="27">
        <f>'DES_Asam Mefenamat'!D120</f>
        <v>113.70532179191723</v>
      </c>
      <c r="E8" s="21">
        <f t="shared" si="0"/>
        <v>-2.7137258271303892</v>
      </c>
      <c r="F8" s="19" t="str">
        <f>'DES_Asam Mefenamat'!D119</f>
        <v>Sangat Baik</v>
      </c>
    </row>
    <row r="9" spans="1:6" x14ac:dyDescent="0.35">
      <c r="A9" s="6">
        <v>5</v>
      </c>
      <c r="B9" s="7" t="s">
        <v>19</v>
      </c>
      <c r="C9" s="27">
        <f>'DES_Epexol Syrup'!D121</f>
        <v>122</v>
      </c>
      <c r="D9" s="27">
        <f>'DES_Epexol Syrup'!D120</f>
        <v>119.14699846026187</v>
      </c>
      <c r="E9" s="21">
        <f t="shared" si="0"/>
        <v>-2.8530015397381305</v>
      </c>
      <c r="F9" s="19" t="str">
        <f>'DES_Epexol Syrup'!D119</f>
        <v>Sangat Baik</v>
      </c>
    </row>
    <row r="10" spans="1:6" x14ac:dyDescent="0.35">
      <c r="A10" s="6">
        <v>6</v>
      </c>
      <c r="B10" s="7" t="s">
        <v>9</v>
      </c>
      <c r="C10" s="27">
        <f>'DES_Gentamicin Injeksi'!D121</f>
        <v>119.20952380952382</v>
      </c>
      <c r="D10" s="27">
        <f>'DES_Gentamicin Injeksi'!D120</f>
        <v>111.51628180194432</v>
      </c>
      <c r="E10" s="21">
        <f t="shared" si="0"/>
        <v>-7.6932420075794994</v>
      </c>
      <c r="F10" s="19" t="str">
        <f>'DES_Gentamicin Injeksi'!D119</f>
        <v>Sangat Baik</v>
      </c>
    </row>
    <row r="11" spans="1:6" x14ac:dyDescent="0.35">
      <c r="A11" s="6">
        <v>7</v>
      </c>
      <c r="B11" s="7" t="s">
        <v>8</v>
      </c>
      <c r="C11" s="27">
        <f>DES_Naturoksi!D121</f>
        <v>117.27619047619048</v>
      </c>
      <c r="D11" s="27">
        <f>DES_Naturoksi!D120</f>
        <v>93.21109633187487</v>
      </c>
      <c r="E11" s="21">
        <f t="shared" si="0"/>
        <v>-24.065094144315609</v>
      </c>
      <c r="F11" s="19" t="str">
        <f>DES_Naturoksi!D119</f>
        <v>Sangat Baik</v>
      </c>
    </row>
    <row r="12" spans="1:6" x14ac:dyDescent="0.35">
      <c r="A12" s="6">
        <v>8</v>
      </c>
      <c r="B12" s="7" t="s">
        <v>11</v>
      </c>
      <c r="C12" s="27">
        <f>'DES_Nazovel Suppositoria'!D121</f>
        <v>118.93333333333334</v>
      </c>
      <c r="D12" s="27">
        <f>'DES_Nazovel Suppositoria'!D120</f>
        <v>115.78885651060692</v>
      </c>
      <c r="E12" s="21">
        <f t="shared" si="0"/>
        <v>-3.1444768227264177</v>
      </c>
      <c r="F12" s="19" t="str">
        <f>'DES_Nazovel Suppositoria'!D119</f>
        <v>Sangat Baik</v>
      </c>
    </row>
    <row r="13" spans="1:6" x14ac:dyDescent="0.35">
      <c r="A13" s="6">
        <v>9</v>
      </c>
      <c r="B13" s="7" t="s">
        <v>10</v>
      </c>
      <c r="C13" s="27">
        <f>'DES_Tramadol Injeksi'!D121</f>
        <v>117.42857142857143</v>
      </c>
      <c r="D13" s="27">
        <f>'DES_Tramadol Injeksi'!D120</f>
        <v>77.940069538513285</v>
      </c>
      <c r="E13" s="21">
        <f t="shared" si="0"/>
        <v>-39.488501890058146</v>
      </c>
      <c r="F13" s="19" t="str">
        <f>'DES_Tramadol Injeksi'!D119</f>
        <v>Sangat Baik</v>
      </c>
    </row>
  </sheetData>
  <mergeCells count="2">
    <mergeCell ref="A1:F1"/>
    <mergeCell ref="A2:F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85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5" width="10" customWidth="1"/>
    <col min="6" max="6" width="11" customWidth="1"/>
  </cols>
  <sheetData>
    <row r="1" spans="1:6" ht="18" x14ac:dyDescent="0.4">
      <c r="A1" s="3" t="s">
        <v>211</v>
      </c>
      <c r="B1" s="3"/>
      <c r="C1" s="3"/>
      <c r="D1" s="3"/>
      <c r="E1" s="3"/>
      <c r="F1" s="3"/>
    </row>
    <row r="2" spans="1:6" ht="39.75" customHeight="1" x14ac:dyDescent="0.35">
      <c r="A2" s="4" t="s">
        <v>212</v>
      </c>
      <c r="B2" s="4"/>
      <c r="C2" s="4"/>
      <c r="D2" s="4"/>
      <c r="E2" s="4"/>
      <c r="F2" s="4"/>
    </row>
    <row r="4" spans="1:6" x14ac:dyDescent="0.35">
      <c r="A4" s="5" t="s">
        <v>0</v>
      </c>
      <c r="B4" s="5" t="s">
        <v>213</v>
      </c>
      <c r="C4" s="5" t="s">
        <v>214</v>
      </c>
      <c r="D4" s="5" t="s">
        <v>197</v>
      </c>
      <c r="E4" s="5" t="s">
        <v>198</v>
      </c>
      <c r="F4" s="5" t="s">
        <v>199</v>
      </c>
    </row>
    <row r="5" spans="1:6" x14ac:dyDescent="0.35">
      <c r="A5" s="8">
        <v>1</v>
      </c>
      <c r="B5" s="8">
        <v>0.1</v>
      </c>
      <c r="C5" s="8">
        <v>0.1</v>
      </c>
      <c r="D5" s="8">
        <v>9.9849999999999994</v>
      </c>
      <c r="E5" s="8">
        <v>133.43899999999999</v>
      </c>
      <c r="F5" s="8">
        <v>8.3930000000000007</v>
      </c>
    </row>
    <row r="6" spans="1:6" x14ac:dyDescent="0.35">
      <c r="A6" s="8">
        <v>2</v>
      </c>
      <c r="B6" s="8">
        <v>0.1</v>
      </c>
      <c r="C6" s="8">
        <v>0.2</v>
      </c>
      <c r="D6" s="8">
        <v>11.396000000000001</v>
      </c>
      <c r="E6" s="8">
        <v>173.79300000000001</v>
      </c>
      <c r="F6" s="8">
        <v>9.4949999999999992</v>
      </c>
    </row>
    <row r="7" spans="1:6" x14ac:dyDescent="0.35">
      <c r="A7" s="8">
        <v>3</v>
      </c>
      <c r="B7" s="8">
        <v>0.1</v>
      </c>
      <c r="C7" s="8">
        <v>0.3</v>
      </c>
      <c r="D7" s="8">
        <v>12.598000000000001</v>
      </c>
      <c r="E7" s="8">
        <v>219.57400000000001</v>
      </c>
      <c r="F7" s="8">
        <v>10.647</v>
      </c>
    </row>
    <row r="8" spans="1:6" x14ac:dyDescent="0.35">
      <c r="A8" s="8">
        <v>4</v>
      </c>
      <c r="B8" s="8">
        <v>0.1</v>
      </c>
      <c r="C8" s="8">
        <v>0.4</v>
      </c>
      <c r="D8" s="8">
        <v>14.298</v>
      </c>
      <c r="E8" s="8">
        <v>280.911</v>
      </c>
      <c r="F8" s="8">
        <v>12.079000000000001</v>
      </c>
    </row>
    <row r="9" spans="1:6" x14ac:dyDescent="0.35">
      <c r="A9" s="8">
        <v>5</v>
      </c>
      <c r="B9" s="8">
        <v>0.1</v>
      </c>
      <c r="C9" s="8">
        <v>0.5</v>
      </c>
      <c r="D9" s="8">
        <v>16.817</v>
      </c>
      <c r="E9" s="8">
        <v>396.625</v>
      </c>
      <c r="F9" s="8">
        <v>14.246</v>
      </c>
    </row>
    <row r="10" spans="1:6" x14ac:dyDescent="0.35">
      <c r="A10" s="8">
        <v>6</v>
      </c>
      <c r="B10" s="8">
        <v>0.1</v>
      </c>
      <c r="C10" s="8">
        <v>0.6</v>
      </c>
      <c r="D10" s="8">
        <v>17.817</v>
      </c>
      <c r="E10" s="8">
        <v>471.63200000000001</v>
      </c>
      <c r="F10" s="8">
        <v>15.092000000000001</v>
      </c>
    </row>
    <row r="11" spans="1:6" x14ac:dyDescent="0.35">
      <c r="A11" s="8">
        <v>7</v>
      </c>
      <c r="B11" s="8">
        <v>0.1</v>
      </c>
      <c r="C11" s="8">
        <v>0.7</v>
      </c>
      <c r="D11" s="8">
        <v>18.673999999999999</v>
      </c>
      <c r="E11" s="8">
        <v>498.45800000000003</v>
      </c>
      <c r="F11" s="8">
        <v>15.754</v>
      </c>
    </row>
    <row r="12" spans="1:6" x14ac:dyDescent="0.35">
      <c r="A12" s="8">
        <v>8</v>
      </c>
      <c r="B12" s="8">
        <v>0.1</v>
      </c>
      <c r="C12" s="8">
        <v>0.8</v>
      </c>
      <c r="D12" s="8">
        <v>20.315999999999999</v>
      </c>
      <c r="E12" s="8">
        <v>554.577</v>
      </c>
      <c r="F12" s="8">
        <v>17.11</v>
      </c>
    </row>
    <row r="13" spans="1:6" x14ac:dyDescent="0.35">
      <c r="A13" s="8">
        <v>9</v>
      </c>
      <c r="B13" s="8">
        <v>0.1</v>
      </c>
      <c r="C13" s="8">
        <v>0.9</v>
      </c>
      <c r="D13" s="8">
        <v>22.102</v>
      </c>
      <c r="E13" s="8">
        <v>617.94000000000005</v>
      </c>
      <c r="F13" s="8">
        <v>18.603999999999999</v>
      </c>
    </row>
    <row r="14" spans="1:6" x14ac:dyDescent="0.35">
      <c r="A14" s="8">
        <v>10</v>
      </c>
      <c r="B14" s="8">
        <v>0.2</v>
      </c>
      <c r="C14" s="8">
        <v>0.1</v>
      </c>
      <c r="D14" s="8">
        <v>9.2729999999999997</v>
      </c>
      <c r="E14" s="8">
        <v>133.13399999999999</v>
      </c>
      <c r="F14" s="8">
        <v>7.8540000000000001</v>
      </c>
    </row>
    <row r="15" spans="1:6" x14ac:dyDescent="0.35">
      <c r="A15" s="8">
        <v>11</v>
      </c>
      <c r="B15" s="8">
        <v>0.2</v>
      </c>
      <c r="C15" s="8">
        <v>0.2</v>
      </c>
      <c r="D15" s="8">
        <v>10.775</v>
      </c>
      <c r="E15" s="8">
        <v>176.01499999999999</v>
      </c>
      <c r="F15" s="8">
        <v>9.1449999999999996</v>
      </c>
    </row>
    <row r="16" spans="1:6" x14ac:dyDescent="0.35">
      <c r="A16" s="8">
        <v>12</v>
      </c>
      <c r="B16" s="8">
        <v>0.2</v>
      </c>
      <c r="C16" s="8">
        <v>0.3</v>
      </c>
      <c r="D16" s="8">
        <v>12.864000000000001</v>
      </c>
      <c r="E16" s="8">
        <v>224.071</v>
      </c>
      <c r="F16" s="8">
        <v>10.914</v>
      </c>
    </row>
    <row r="17" spans="1:6" x14ac:dyDescent="0.35">
      <c r="A17" s="8">
        <v>13</v>
      </c>
      <c r="B17" s="8">
        <v>0.2</v>
      </c>
      <c r="C17" s="8">
        <v>0.4</v>
      </c>
      <c r="D17" s="8">
        <v>14.305999999999999</v>
      </c>
      <c r="E17" s="8">
        <v>259.392</v>
      </c>
      <c r="F17" s="8">
        <v>12.117000000000001</v>
      </c>
    </row>
    <row r="18" spans="1:6" x14ac:dyDescent="0.35">
      <c r="A18" s="8">
        <v>14</v>
      </c>
      <c r="B18" s="8">
        <v>0.2</v>
      </c>
      <c r="C18" s="8">
        <v>0.5</v>
      </c>
      <c r="D18" s="8">
        <v>14.805999999999999</v>
      </c>
      <c r="E18" s="8">
        <v>275.95299999999997</v>
      </c>
      <c r="F18" s="8">
        <v>12.548999999999999</v>
      </c>
    </row>
    <row r="19" spans="1:6" x14ac:dyDescent="0.35">
      <c r="A19" s="8">
        <v>15</v>
      </c>
      <c r="B19" s="8">
        <v>0.2</v>
      </c>
      <c r="C19" s="8">
        <v>0.6</v>
      </c>
      <c r="D19" s="8">
        <v>14.994</v>
      </c>
      <c r="E19" s="8">
        <v>278.86399999999998</v>
      </c>
      <c r="F19" s="8">
        <v>12.718</v>
      </c>
    </row>
    <row r="20" spans="1:6" x14ac:dyDescent="0.35">
      <c r="A20" s="8">
        <v>16</v>
      </c>
      <c r="B20" s="8">
        <v>0.2</v>
      </c>
      <c r="C20" s="8">
        <v>0.7</v>
      </c>
      <c r="D20" s="8">
        <v>14.771000000000001</v>
      </c>
      <c r="E20" s="8">
        <v>275.78399999999999</v>
      </c>
      <c r="F20" s="8">
        <v>12.56</v>
      </c>
    </row>
    <row r="21" spans="1:6" x14ac:dyDescent="0.35">
      <c r="A21" s="8">
        <v>17</v>
      </c>
      <c r="B21" s="8">
        <v>0.2</v>
      </c>
      <c r="C21" s="8">
        <v>0.8</v>
      </c>
      <c r="D21" s="8">
        <v>14.021000000000001</v>
      </c>
      <c r="E21" s="8">
        <v>266.83199999999999</v>
      </c>
      <c r="F21" s="8">
        <v>11.952999999999999</v>
      </c>
    </row>
    <row r="22" spans="1:6" x14ac:dyDescent="0.35">
      <c r="A22" s="8">
        <v>18</v>
      </c>
      <c r="B22" s="8">
        <v>0.2</v>
      </c>
      <c r="C22" s="8">
        <v>0.9</v>
      </c>
      <c r="D22" s="8">
        <v>13.161</v>
      </c>
      <c r="E22" s="8">
        <v>249.65</v>
      </c>
      <c r="F22" s="8">
        <v>11.194000000000001</v>
      </c>
    </row>
    <row r="23" spans="1:6" x14ac:dyDescent="0.35">
      <c r="A23" s="8">
        <v>19</v>
      </c>
      <c r="B23" s="8">
        <v>0.3</v>
      </c>
      <c r="C23" s="8">
        <v>0.1</v>
      </c>
      <c r="D23" s="8">
        <v>8.6189999999999998</v>
      </c>
      <c r="E23" s="8">
        <v>111.627</v>
      </c>
      <c r="F23" s="8">
        <v>7.3449999999999998</v>
      </c>
    </row>
    <row r="24" spans="1:6" x14ac:dyDescent="0.35">
      <c r="A24" s="8">
        <v>20</v>
      </c>
      <c r="B24" s="8">
        <v>0.3</v>
      </c>
      <c r="C24" s="8">
        <v>0.2</v>
      </c>
      <c r="D24" s="8">
        <v>9.9149999999999991</v>
      </c>
      <c r="E24" s="8">
        <v>138.18700000000001</v>
      </c>
      <c r="F24" s="8">
        <v>8.4450000000000003</v>
      </c>
    </row>
    <row r="25" spans="1:6" x14ac:dyDescent="0.35">
      <c r="A25" s="8">
        <v>21</v>
      </c>
      <c r="B25" s="8">
        <v>0.3</v>
      </c>
      <c r="C25" s="8">
        <v>0.3</v>
      </c>
      <c r="D25" s="8">
        <v>10.879</v>
      </c>
      <c r="E25" s="8">
        <v>157.411</v>
      </c>
      <c r="F25" s="8">
        <v>9.2579999999999991</v>
      </c>
    </row>
    <row r="26" spans="1:6" x14ac:dyDescent="0.35">
      <c r="A26" s="8">
        <v>22</v>
      </c>
      <c r="B26" s="8">
        <v>0.3</v>
      </c>
      <c r="C26" s="8">
        <v>0.4</v>
      </c>
      <c r="D26" s="8">
        <v>11.246</v>
      </c>
      <c r="E26" s="8">
        <v>164.57599999999999</v>
      </c>
      <c r="F26" s="8">
        <v>9.5719999999999992</v>
      </c>
    </row>
    <row r="27" spans="1:6" x14ac:dyDescent="0.35">
      <c r="A27" s="8">
        <v>23</v>
      </c>
      <c r="B27" s="8">
        <v>0.3</v>
      </c>
      <c r="C27" s="8">
        <v>0.5</v>
      </c>
      <c r="D27" s="8">
        <v>10.896000000000001</v>
      </c>
      <c r="E27" s="8">
        <v>162.297</v>
      </c>
      <c r="F27" s="8">
        <v>9.3109999999999999</v>
      </c>
    </row>
    <row r="28" spans="1:6" x14ac:dyDescent="0.35">
      <c r="A28" s="8">
        <v>24</v>
      </c>
      <c r="B28" s="8">
        <v>0.3</v>
      </c>
      <c r="C28" s="8">
        <v>0.6</v>
      </c>
      <c r="D28" s="8">
        <v>10.305999999999999</v>
      </c>
      <c r="E28" s="8">
        <v>153.21299999999999</v>
      </c>
      <c r="F28" s="8">
        <v>8.7989999999999995</v>
      </c>
    </row>
    <row r="29" spans="1:6" x14ac:dyDescent="0.35">
      <c r="A29" s="8">
        <v>25</v>
      </c>
      <c r="B29" s="8">
        <v>0.3</v>
      </c>
      <c r="C29" s="8">
        <v>0.7</v>
      </c>
      <c r="D29" s="8">
        <v>9.7219999999999995</v>
      </c>
      <c r="E29" s="8">
        <v>140.221</v>
      </c>
      <c r="F29" s="8">
        <v>8.2840000000000007</v>
      </c>
    </row>
    <row r="30" spans="1:6" x14ac:dyDescent="0.35">
      <c r="A30" s="8">
        <v>26</v>
      </c>
      <c r="B30" s="8">
        <v>0.3</v>
      </c>
      <c r="C30" s="8">
        <v>0.8</v>
      </c>
      <c r="D30" s="8">
        <v>8.9710000000000001</v>
      </c>
      <c r="E30" s="8">
        <v>126.928</v>
      </c>
      <c r="F30" s="8">
        <v>7.6360000000000001</v>
      </c>
    </row>
    <row r="31" spans="1:6" x14ac:dyDescent="0.35">
      <c r="A31" s="8">
        <v>27</v>
      </c>
      <c r="B31" s="8">
        <v>0.3</v>
      </c>
      <c r="C31" s="8">
        <v>0.9</v>
      </c>
      <c r="D31" s="8">
        <v>8.343</v>
      </c>
      <c r="E31" s="8">
        <v>115.988</v>
      </c>
      <c r="F31" s="8">
        <v>7.1130000000000004</v>
      </c>
    </row>
    <row r="32" spans="1:6" x14ac:dyDescent="0.35">
      <c r="A32" s="8">
        <v>28</v>
      </c>
      <c r="B32" s="8">
        <v>0.4</v>
      </c>
      <c r="C32" s="8">
        <v>0.1</v>
      </c>
      <c r="D32" s="8">
        <v>7.5259999999999998</v>
      </c>
      <c r="E32" s="8">
        <v>91.82</v>
      </c>
      <c r="F32" s="8">
        <v>6.4329999999999998</v>
      </c>
    </row>
    <row r="33" spans="1:6" x14ac:dyDescent="0.35">
      <c r="A33" s="8">
        <v>29</v>
      </c>
      <c r="B33" s="8">
        <v>0.4</v>
      </c>
      <c r="C33" s="8">
        <v>0.2</v>
      </c>
      <c r="D33" s="8">
        <v>8.5619999999999994</v>
      </c>
      <c r="E33" s="8">
        <v>106.81</v>
      </c>
      <c r="F33" s="8">
        <v>7.3090000000000002</v>
      </c>
    </row>
    <row r="34" spans="1:6" x14ac:dyDescent="0.35">
      <c r="A34" s="8">
        <v>30</v>
      </c>
      <c r="B34" s="8">
        <v>0.4</v>
      </c>
      <c r="C34" s="8">
        <v>0.3</v>
      </c>
      <c r="D34" s="8">
        <v>9.0470000000000006</v>
      </c>
      <c r="E34" s="8">
        <v>114.515</v>
      </c>
      <c r="F34" s="8">
        <v>7.7359999999999998</v>
      </c>
    </row>
    <row r="35" spans="1:6" x14ac:dyDescent="0.35">
      <c r="A35" s="8">
        <v>31</v>
      </c>
      <c r="B35" s="8">
        <v>0.4</v>
      </c>
      <c r="C35" s="8">
        <v>0.4</v>
      </c>
      <c r="D35" s="8">
        <v>8.92</v>
      </c>
      <c r="E35" s="8">
        <v>114.52</v>
      </c>
      <c r="F35" s="8">
        <v>7.6390000000000002</v>
      </c>
    </row>
    <row r="36" spans="1:6" x14ac:dyDescent="0.35">
      <c r="A36" s="8">
        <v>32</v>
      </c>
      <c r="B36" s="8">
        <v>0.4</v>
      </c>
      <c r="C36" s="8">
        <v>0.5</v>
      </c>
      <c r="D36" s="8">
        <v>8.5719999999999992</v>
      </c>
      <c r="E36" s="8">
        <v>109.60599999999999</v>
      </c>
      <c r="F36" s="8">
        <v>7.3330000000000002</v>
      </c>
    </row>
    <row r="37" spans="1:6" x14ac:dyDescent="0.35">
      <c r="A37" s="8">
        <v>33</v>
      </c>
      <c r="B37" s="8">
        <v>0.4</v>
      </c>
      <c r="C37" s="8">
        <v>0.6</v>
      </c>
      <c r="D37" s="8">
        <v>8.0830000000000002</v>
      </c>
      <c r="E37" s="8">
        <v>103.045</v>
      </c>
      <c r="F37" s="8">
        <v>6.9180000000000001</v>
      </c>
    </row>
    <row r="38" spans="1:6" x14ac:dyDescent="0.35">
      <c r="A38" s="8">
        <v>34</v>
      </c>
      <c r="B38" s="8">
        <v>0.4</v>
      </c>
      <c r="C38" s="8">
        <v>0.7</v>
      </c>
      <c r="D38" s="8">
        <v>7.7089999999999996</v>
      </c>
      <c r="E38" s="8">
        <v>97.382999999999996</v>
      </c>
      <c r="F38" s="8">
        <v>6.6139999999999999</v>
      </c>
    </row>
    <row r="39" spans="1:6" x14ac:dyDescent="0.35">
      <c r="A39" s="8">
        <v>35</v>
      </c>
      <c r="B39" s="8">
        <v>0.4</v>
      </c>
      <c r="C39" s="8">
        <v>0.8</v>
      </c>
      <c r="D39" s="8">
        <v>7.5149999999999997</v>
      </c>
      <c r="E39" s="8">
        <v>93.774000000000001</v>
      </c>
      <c r="F39" s="8">
        <v>6.4560000000000004</v>
      </c>
    </row>
    <row r="40" spans="1:6" x14ac:dyDescent="0.35">
      <c r="A40" s="8">
        <v>36</v>
      </c>
      <c r="B40" s="8">
        <v>0.4</v>
      </c>
      <c r="C40" s="8">
        <v>0.9</v>
      </c>
      <c r="D40" s="8">
        <v>7.5170000000000003</v>
      </c>
      <c r="E40" s="8">
        <v>92.344999999999999</v>
      </c>
      <c r="F40" s="8">
        <v>6.4560000000000004</v>
      </c>
    </row>
    <row r="41" spans="1:6" x14ac:dyDescent="0.35">
      <c r="A41" s="8">
        <v>37</v>
      </c>
      <c r="B41" s="8">
        <v>0.5</v>
      </c>
      <c r="C41" s="8">
        <v>0.1</v>
      </c>
      <c r="D41" s="8">
        <v>6.7750000000000004</v>
      </c>
      <c r="E41" s="8">
        <v>78.216999999999999</v>
      </c>
      <c r="F41" s="8">
        <v>5.8</v>
      </c>
    </row>
    <row r="42" spans="1:6" x14ac:dyDescent="0.35">
      <c r="A42" s="8">
        <v>38</v>
      </c>
      <c r="B42" s="8">
        <v>0.5</v>
      </c>
      <c r="C42" s="8">
        <v>0.2</v>
      </c>
      <c r="D42" s="8">
        <v>7.5590000000000002</v>
      </c>
      <c r="E42" s="8">
        <v>87.564999999999998</v>
      </c>
      <c r="F42" s="8">
        <v>6.4770000000000003</v>
      </c>
    </row>
    <row r="43" spans="1:6" x14ac:dyDescent="0.35">
      <c r="A43" s="8">
        <v>39</v>
      </c>
      <c r="B43" s="8">
        <v>0.5</v>
      </c>
      <c r="C43" s="8">
        <v>0.3</v>
      </c>
      <c r="D43" s="8">
        <v>7.7469999999999999</v>
      </c>
      <c r="E43" s="8">
        <v>91.349000000000004</v>
      </c>
      <c r="F43" s="8">
        <v>6.6470000000000002</v>
      </c>
    </row>
    <row r="44" spans="1:6" x14ac:dyDescent="0.35">
      <c r="A44" s="8">
        <v>40</v>
      </c>
      <c r="B44" s="8">
        <v>0.5</v>
      </c>
      <c r="C44" s="8">
        <v>0.4</v>
      </c>
      <c r="D44" s="8">
        <v>7.5890000000000004</v>
      </c>
      <c r="E44" s="8">
        <v>90.491</v>
      </c>
      <c r="F44" s="8">
        <v>6.5069999999999997</v>
      </c>
    </row>
    <row r="45" spans="1:6" x14ac:dyDescent="0.35">
      <c r="A45" s="8">
        <v>41</v>
      </c>
      <c r="B45" s="8">
        <v>0.5</v>
      </c>
      <c r="C45" s="8">
        <v>0.5</v>
      </c>
      <c r="D45" s="8">
        <v>7.391</v>
      </c>
      <c r="E45" s="8">
        <v>87.671999999999997</v>
      </c>
      <c r="F45" s="8">
        <v>6.3460000000000001</v>
      </c>
    </row>
    <row r="46" spans="1:6" x14ac:dyDescent="0.35">
      <c r="A46" s="8">
        <v>42</v>
      </c>
      <c r="B46" s="8">
        <v>0.5</v>
      </c>
      <c r="C46" s="8">
        <v>0.6</v>
      </c>
      <c r="D46" s="8">
        <v>7.2140000000000004</v>
      </c>
      <c r="E46" s="8">
        <v>85.057000000000002</v>
      </c>
      <c r="F46" s="8">
        <v>6.1959999999999997</v>
      </c>
    </row>
    <row r="47" spans="1:6" x14ac:dyDescent="0.35">
      <c r="A47" s="8">
        <v>43</v>
      </c>
      <c r="B47" s="8">
        <v>0.5</v>
      </c>
      <c r="C47" s="8">
        <v>0.7</v>
      </c>
      <c r="D47" s="8">
        <v>7.0739999999999998</v>
      </c>
      <c r="E47" s="8">
        <v>83.616</v>
      </c>
      <c r="F47" s="8">
        <v>6.077</v>
      </c>
    </row>
    <row r="48" spans="1:6" x14ac:dyDescent="0.35">
      <c r="A48" s="8">
        <v>44</v>
      </c>
      <c r="B48" s="8">
        <v>0.5</v>
      </c>
      <c r="C48" s="8">
        <v>0.8</v>
      </c>
      <c r="D48" s="8">
        <v>7.0069999999999997</v>
      </c>
      <c r="E48" s="8">
        <v>83.424000000000007</v>
      </c>
      <c r="F48" s="8">
        <v>6.0250000000000004</v>
      </c>
    </row>
    <row r="49" spans="1:6" x14ac:dyDescent="0.35">
      <c r="A49" s="8">
        <v>45</v>
      </c>
      <c r="B49" s="8">
        <v>0.5</v>
      </c>
      <c r="C49" s="8">
        <v>0.9</v>
      </c>
      <c r="D49" s="8">
        <v>7.117</v>
      </c>
      <c r="E49" s="8">
        <v>84.119</v>
      </c>
      <c r="F49" s="8">
        <v>6.1340000000000003</v>
      </c>
    </row>
    <row r="50" spans="1:6" x14ac:dyDescent="0.35">
      <c r="A50" s="8">
        <v>46</v>
      </c>
      <c r="B50" s="8">
        <v>0.6</v>
      </c>
      <c r="C50" s="8">
        <v>0.1</v>
      </c>
      <c r="D50" s="8">
        <v>6.3559999999999999</v>
      </c>
      <c r="E50" s="8">
        <v>69.251999999999995</v>
      </c>
      <c r="F50" s="8">
        <v>5.4459999999999997</v>
      </c>
    </row>
    <row r="51" spans="1:6" x14ac:dyDescent="0.35">
      <c r="A51" s="8">
        <v>47</v>
      </c>
      <c r="B51" s="8">
        <v>0.6</v>
      </c>
      <c r="C51" s="8">
        <v>0.2</v>
      </c>
      <c r="D51" s="8">
        <v>6.8550000000000004</v>
      </c>
      <c r="E51" s="8">
        <v>75.847999999999999</v>
      </c>
      <c r="F51" s="8">
        <v>5.88</v>
      </c>
    </row>
    <row r="52" spans="1:6" x14ac:dyDescent="0.35">
      <c r="A52" s="8">
        <v>48</v>
      </c>
      <c r="B52" s="8">
        <v>0.6</v>
      </c>
      <c r="C52" s="8">
        <v>0.3</v>
      </c>
      <c r="D52" s="8">
        <v>6.931</v>
      </c>
      <c r="E52" s="8">
        <v>78.323999999999998</v>
      </c>
      <c r="F52" s="8">
        <v>5.9530000000000003</v>
      </c>
    </row>
    <row r="53" spans="1:6" x14ac:dyDescent="0.35">
      <c r="A53" s="8">
        <v>49</v>
      </c>
      <c r="B53" s="8">
        <v>0.6</v>
      </c>
      <c r="C53" s="8">
        <v>0.4</v>
      </c>
      <c r="D53" s="8">
        <v>6.923</v>
      </c>
      <c r="E53" s="8">
        <v>77.941999999999993</v>
      </c>
      <c r="F53" s="8">
        <v>5.9429999999999996</v>
      </c>
    </row>
    <row r="54" spans="1:6" x14ac:dyDescent="0.35">
      <c r="A54" s="8">
        <v>50</v>
      </c>
      <c r="B54" s="8">
        <v>0.6</v>
      </c>
      <c r="C54" s="8">
        <v>0.5</v>
      </c>
      <c r="D54" s="8">
        <v>6.8049999999999997</v>
      </c>
      <c r="E54" s="8">
        <v>76.703000000000003</v>
      </c>
      <c r="F54" s="8">
        <v>5.8369999999999997</v>
      </c>
    </row>
    <row r="55" spans="1:6" x14ac:dyDescent="0.35">
      <c r="A55" s="8">
        <v>51</v>
      </c>
      <c r="B55" s="8">
        <v>0.6</v>
      </c>
      <c r="C55" s="8">
        <v>0.6</v>
      </c>
      <c r="D55" s="8">
        <v>6.758</v>
      </c>
      <c r="E55" s="8">
        <v>75.763999999999996</v>
      </c>
      <c r="F55" s="8">
        <v>5.806</v>
      </c>
    </row>
    <row r="56" spans="1:6" x14ac:dyDescent="0.35">
      <c r="A56" s="8">
        <v>52</v>
      </c>
      <c r="B56" s="8">
        <v>0.6</v>
      </c>
      <c r="C56" s="8">
        <v>0.7</v>
      </c>
      <c r="D56" s="8">
        <v>6.8310000000000004</v>
      </c>
      <c r="E56" s="8">
        <v>75.379000000000005</v>
      </c>
      <c r="F56" s="8">
        <v>5.883</v>
      </c>
    </row>
    <row r="57" spans="1:6" x14ac:dyDescent="0.35">
      <c r="A57" s="8">
        <v>53</v>
      </c>
      <c r="B57" s="8">
        <v>0.6</v>
      </c>
      <c r="C57" s="8">
        <v>0.8</v>
      </c>
      <c r="D57" s="8">
        <v>6.8719999999999999</v>
      </c>
      <c r="E57" s="8">
        <v>75.322000000000003</v>
      </c>
      <c r="F57" s="8">
        <v>5.93</v>
      </c>
    </row>
    <row r="58" spans="1:6" x14ac:dyDescent="0.35">
      <c r="A58" s="8">
        <v>54</v>
      </c>
      <c r="B58" s="8">
        <v>0.6</v>
      </c>
      <c r="C58" s="8">
        <v>0.9</v>
      </c>
      <c r="D58" s="8">
        <v>6.9909999999999997</v>
      </c>
      <c r="E58" s="8">
        <v>75.236999999999995</v>
      </c>
      <c r="F58" s="8">
        <v>6.0279999999999996</v>
      </c>
    </row>
    <row r="59" spans="1:6" x14ac:dyDescent="0.35">
      <c r="A59" s="8">
        <v>55</v>
      </c>
      <c r="B59" s="8">
        <v>0.7</v>
      </c>
      <c r="C59" s="8">
        <v>0.1</v>
      </c>
      <c r="D59" s="8">
        <v>6.109</v>
      </c>
      <c r="E59" s="8">
        <v>63.103999999999999</v>
      </c>
      <c r="F59" s="8">
        <v>5.2279999999999998</v>
      </c>
    </row>
    <row r="60" spans="1:6" x14ac:dyDescent="0.35">
      <c r="A60" s="8">
        <v>56</v>
      </c>
      <c r="B60" s="8">
        <v>0.7</v>
      </c>
      <c r="C60" s="8">
        <v>0.2</v>
      </c>
      <c r="D60" s="8">
        <v>6.492</v>
      </c>
      <c r="E60" s="8">
        <v>68.183000000000007</v>
      </c>
      <c r="F60" s="8">
        <v>5.556</v>
      </c>
    </row>
    <row r="61" spans="1:6" x14ac:dyDescent="0.35">
      <c r="A61" s="8">
        <v>57</v>
      </c>
      <c r="B61" s="8">
        <v>0.7</v>
      </c>
      <c r="C61" s="8">
        <v>0.3</v>
      </c>
      <c r="D61" s="8">
        <v>6.5640000000000001</v>
      </c>
      <c r="E61" s="8">
        <v>70.106999999999999</v>
      </c>
      <c r="F61" s="8">
        <v>5.62</v>
      </c>
    </row>
    <row r="62" spans="1:6" x14ac:dyDescent="0.35">
      <c r="A62" s="8">
        <v>58</v>
      </c>
      <c r="B62" s="8">
        <v>0.7</v>
      </c>
      <c r="C62" s="8">
        <v>0.4</v>
      </c>
      <c r="D62" s="8">
        <v>6.4960000000000004</v>
      </c>
      <c r="E62" s="8">
        <v>70.063999999999993</v>
      </c>
      <c r="F62" s="8">
        <v>5.5670000000000002</v>
      </c>
    </row>
    <row r="63" spans="1:6" x14ac:dyDescent="0.35">
      <c r="A63" s="8">
        <v>59</v>
      </c>
      <c r="B63" s="8">
        <v>0.7</v>
      </c>
      <c r="C63" s="8">
        <v>0.5</v>
      </c>
      <c r="D63" s="8">
        <v>6.5810000000000004</v>
      </c>
      <c r="E63" s="8">
        <v>69.44</v>
      </c>
      <c r="F63" s="8">
        <v>5.65</v>
      </c>
    </row>
    <row r="64" spans="1:6" x14ac:dyDescent="0.35">
      <c r="A64" s="8">
        <v>60</v>
      </c>
      <c r="B64" s="8">
        <v>0.7</v>
      </c>
      <c r="C64" s="8">
        <v>0.6</v>
      </c>
      <c r="D64" s="8">
        <v>6.726</v>
      </c>
      <c r="E64" s="8">
        <v>68.853999999999999</v>
      </c>
      <c r="F64" s="8">
        <v>5.7759999999999998</v>
      </c>
    </row>
    <row r="65" spans="1:6" x14ac:dyDescent="0.35">
      <c r="A65" s="8">
        <v>61</v>
      </c>
      <c r="B65" s="8">
        <v>0.7</v>
      </c>
      <c r="C65" s="8">
        <v>0.7</v>
      </c>
      <c r="D65" s="8">
        <v>6.8390000000000004</v>
      </c>
      <c r="E65" s="8">
        <v>68.352999999999994</v>
      </c>
      <c r="F65" s="8">
        <v>5.8710000000000004</v>
      </c>
    </row>
    <row r="66" spans="1:6" x14ac:dyDescent="0.35">
      <c r="A66" s="8">
        <v>62</v>
      </c>
      <c r="B66" s="8">
        <v>0.7</v>
      </c>
      <c r="C66" s="8">
        <v>0.8</v>
      </c>
      <c r="D66" s="8">
        <v>6.9180000000000001</v>
      </c>
      <c r="E66" s="8">
        <v>67.786000000000001</v>
      </c>
      <c r="F66" s="8">
        <v>5.931</v>
      </c>
    </row>
    <row r="67" spans="1:6" x14ac:dyDescent="0.35">
      <c r="A67" s="8">
        <v>63</v>
      </c>
      <c r="B67" s="8">
        <v>0.7</v>
      </c>
      <c r="C67" s="8">
        <v>0.9</v>
      </c>
      <c r="D67" s="8">
        <v>6.9569999999999999</v>
      </c>
      <c r="E67" s="8">
        <v>67.031999999999996</v>
      </c>
      <c r="F67" s="8">
        <v>5.9550000000000001</v>
      </c>
    </row>
    <row r="68" spans="1:6" x14ac:dyDescent="0.35">
      <c r="A68" s="8">
        <v>64</v>
      </c>
      <c r="B68" s="8">
        <v>0.8</v>
      </c>
      <c r="C68" s="8">
        <v>0.1</v>
      </c>
      <c r="D68" s="8">
        <v>5.9470000000000001</v>
      </c>
      <c r="E68" s="8">
        <v>58.69</v>
      </c>
      <c r="F68" s="8">
        <v>5.0720000000000001</v>
      </c>
    </row>
    <row r="69" spans="1:6" x14ac:dyDescent="0.35">
      <c r="A69" s="8">
        <v>65</v>
      </c>
      <c r="B69" s="8">
        <v>0.8</v>
      </c>
      <c r="C69" s="8">
        <v>0.2</v>
      </c>
      <c r="D69" s="8">
        <v>6.2430000000000003</v>
      </c>
      <c r="E69" s="8">
        <v>62.817</v>
      </c>
      <c r="F69" s="8">
        <v>5.3220000000000001</v>
      </c>
    </row>
    <row r="70" spans="1:6" x14ac:dyDescent="0.35">
      <c r="A70" s="8">
        <v>66</v>
      </c>
      <c r="B70" s="8">
        <v>0.8</v>
      </c>
      <c r="C70" s="8">
        <v>0.3</v>
      </c>
      <c r="D70" s="8">
        <v>6.3120000000000003</v>
      </c>
      <c r="E70" s="8">
        <v>64.421000000000006</v>
      </c>
      <c r="F70" s="8">
        <v>5.3849999999999998</v>
      </c>
    </row>
    <row r="71" spans="1:6" x14ac:dyDescent="0.35">
      <c r="A71" s="8">
        <v>67</v>
      </c>
      <c r="B71" s="8">
        <v>0.8</v>
      </c>
      <c r="C71" s="8">
        <v>0.4</v>
      </c>
      <c r="D71" s="8">
        <v>6.516</v>
      </c>
      <c r="E71" s="8">
        <v>64.525000000000006</v>
      </c>
      <c r="F71" s="8">
        <v>5.569</v>
      </c>
    </row>
    <row r="72" spans="1:6" x14ac:dyDescent="0.35">
      <c r="A72" s="8">
        <v>68</v>
      </c>
      <c r="B72" s="8">
        <v>0.8</v>
      </c>
      <c r="C72" s="8">
        <v>0.5</v>
      </c>
      <c r="D72" s="8">
        <v>6.6840000000000002</v>
      </c>
      <c r="E72" s="8">
        <v>64.134</v>
      </c>
      <c r="F72" s="8">
        <v>5.7140000000000004</v>
      </c>
    </row>
    <row r="73" spans="1:6" x14ac:dyDescent="0.35">
      <c r="A73" s="8">
        <v>69</v>
      </c>
      <c r="B73" s="8">
        <v>0.8</v>
      </c>
      <c r="C73" s="8">
        <v>0.6</v>
      </c>
      <c r="D73" s="8">
        <v>6.798</v>
      </c>
      <c r="E73" s="8">
        <v>63.662999999999997</v>
      </c>
      <c r="F73" s="8">
        <v>5.8070000000000004</v>
      </c>
    </row>
    <row r="74" spans="1:6" x14ac:dyDescent="0.35">
      <c r="A74" s="8">
        <v>70</v>
      </c>
      <c r="B74" s="8">
        <v>0.8</v>
      </c>
      <c r="C74" s="8">
        <v>0.7</v>
      </c>
      <c r="D74" s="8">
        <v>6.8719999999999999</v>
      </c>
      <c r="E74" s="8">
        <v>63.191000000000003</v>
      </c>
      <c r="F74" s="8">
        <v>5.8609999999999998</v>
      </c>
    </row>
    <row r="75" spans="1:6" x14ac:dyDescent="0.35">
      <c r="A75" s="8">
        <v>71</v>
      </c>
      <c r="B75" s="8">
        <v>0.8</v>
      </c>
      <c r="C75" s="8">
        <v>0.8</v>
      </c>
      <c r="D75" s="8">
        <v>6.9119999999999999</v>
      </c>
      <c r="E75" s="8">
        <v>62.731999999999999</v>
      </c>
      <c r="F75" s="8">
        <v>5.883</v>
      </c>
    </row>
    <row r="76" spans="1:6" x14ac:dyDescent="0.35">
      <c r="A76" s="8">
        <v>72</v>
      </c>
      <c r="B76" s="8">
        <v>0.8</v>
      </c>
      <c r="C76" s="8">
        <v>0.9</v>
      </c>
      <c r="D76" s="8">
        <v>6.9249999999999998</v>
      </c>
      <c r="E76" s="8">
        <v>62.354999999999997</v>
      </c>
      <c r="F76" s="8">
        <v>5.8789999999999996</v>
      </c>
    </row>
    <row r="77" spans="1:6" x14ac:dyDescent="0.35">
      <c r="A77" s="28">
        <v>73</v>
      </c>
      <c r="B77" s="28">
        <v>0.9</v>
      </c>
      <c r="C77" s="28">
        <v>0.1</v>
      </c>
      <c r="D77" s="28">
        <v>5.7939999999999996</v>
      </c>
      <c r="E77" s="28">
        <v>55.512</v>
      </c>
      <c r="F77" s="28">
        <v>4.92</v>
      </c>
    </row>
    <row r="78" spans="1:6" x14ac:dyDescent="0.35">
      <c r="A78" s="8">
        <v>74</v>
      </c>
      <c r="B78" s="8">
        <v>0.9</v>
      </c>
      <c r="C78" s="8">
        <v>0.2</v>
      </c>
      <c r="D78" s="8">
        <v>6.0419999999999998</v>
      </c>
      <c r="E78" s="8">
        <v>59.042000000000002</v>
      </c>
      <c r="F78" s="8">
        <v>5.1289999999999996</v>
      </c>
    </row>
    <row r="79" spans="1:6" x14ac:dyDescent="0.35">
      <c r="A79" s="8">
        <v>75</v>
      </c>
      <c r="B79" s="8">
        <v>0.9</v>
      </c>
      <c r="C79" s="8">
        <v>0.3</v>
      </c>
      <c r="D79" s="8">
        <v>6.39</v>
      </c>
      <c r="E79" s="8">
        <v>60.518000000000001</v>
      </c>
      <c r="F79" s="8">
        <v>5.4359999999999999</v>
      </c>
    </row>
    <row r="80" spans="1:6" x14ac:dyDescent="0.35">
      <c r="A80" s="8">
        <v>76</v>
      </c>
      <c r="B80" s="8">
        <v>0.9</v>
      </c>
      <c r="C80" s="8">
        <v>0.4</v>
      </c>
      <c r="D80" s="8">
        <v>6.625</v>
      </c>
      <c r="E80" s="8">
        <v>60.84</v>
      </c>
      <c r="F80" s="8">
        <v>5.6379999999999999</v>
      </c>
    </row>
    <row r="81" spans="1:6" x14ac:dyDescent="0.35">
      <c r="A81" s="8">
        <v>77</v>
      </c>
      <c r="B81" s="8">
        <v>0.9</v>
      </c>
      <c r="C81" s="8">
        <v>0.5</v>
      </c>
      <c r="D81" s="8">
        <v>6.7720000000000002</v>
      </c>
      <c r="E81" s="8">
        <v>60.817999999999998</v>
      </c>
      <c r="F81" s="8">
        <v>5.7590000000000003</v>
      </c>
    </row>
    <row r="82" spans="1:6" x14ac:dyDescent="0.35">
      <c r="A82" s="8">
        <v>78</v>
      </c>
      <c r="B82" s="8">
        <v>0.9</v>
      </c>
      <c r="C82" s="8">
        <v>0.6</v>
      </c>
      <c r="D82" s="8">
        <v>6.87</v>
      </c>
      <c r="E82" s="8">
        <v>60.834000000000003</v>
      </c>
      <c r="F82" s="8">
        <v>5.8319999999999999</v>
      </c>
    </row>
    <row r="83" spans="1:6" x14ac:dyDescent="0.35">
      <c r="A83" s="8">
        <v>79</v>
      </c>
      <c r="B83" s="8">
        <v>0.9</v>
      </c>
      <c r="C83" s="8">
        <v>0.7</v>
      </c>
      <c r="D83" s="8">
        <v>6.9379999999999997</v>
      </c>
      <c r="E83" s="8">
        <v>61.064</v>
      </c>
      <c r="F83" s="8">
        <v>5.8760000000000003</v>
      </c>
    </row>
    <row r="84" spans="1:6" x14ac:dyDescent="0.35">
      <c r="A84" s="8">
        <v>80</v>
      </c>
      <c r="B84" s="8">
        <v>0.9</v>
      </c>
      <c r="C84" s="8">
        <v>0.8</v>
      </c>
      <c r="D84" s="8">
        <v>6.9880000000000004</v>
      </c>
      <c r="E84" s="8">
        <v>61.661999999999999</v>
      </c>
      <c r="F84" s="8">
        <v>5.9009999999999998</v>
      </c>
    </row>
    <row r="85" spans="1:6" x14ac:dyDescent="0.35">
      <c r="A85" s="8">
        <v>81</v>
      </c>
      <c r="B85" s="8">
        <v>0.9</v>
      </c>
      <c r="C85" s="8">
        <v>0.9</v>
      </c>
      <c r="D85" s="8">
        <v>7.14</v>
      </c>
      <c r="E85" s="8">
        <v>62.817</v>
      </c>
      <c r="F85" s="8">
        <v>6.0190000000000001</v>
      </c>
    </row>
  </sheetData>
  <mergeCells count="2">
    <mergeCell ref="A1:F1"/>
    <mergeCell ref="A2:F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733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22" customWidth="1"/>
    <col min="3" max="6" width="10" customWidth="1"/>
    <col min="7" max="7" width="11" customWidth="1"/>
    <col min="8" max="8" width="10" customWidth="1"/>
  </cols>
  <sheetData>
    <row r="1" spans="1:8" ht="18" x14ac:dyDescent="0.4">
      <c r="A1" s="3" t="s">
        <v>215</v>
      </c>
      <c r="B1" s="3"/>
      <c r="C1" s="3"/>
      <c r="D1" s="3"/>
      <c r="E1" s="3"/>
      <c r="F1" s="3"/>
      <c r="G1" s="3"/>
    </row>
    <row r="2" spans="1:8" ht="27.75" customHeight="1" x14ac:dyDescent="0.35">
      <c r="A2" s="4" t="s">
        <v>216</v>
      </c>
      <c r="B2" s="4"/>
      <c r="C2" s="4"/>
      <c r="D2" s="4"/>
      <c r="E2" s="4"/>
      <c r="F2" s="4"/>
      <c r="G2" s="4"/>
    </row>
    <row r="4" spans="1:8" x14ac:dyDescent="0.35">
      <c r="A4" s="5" t="s">
        <v>0</v>
      </c>
      <c r="B4" s="5" t="s">
        <v>129</v>
      </c>
      <c r="C4" s="5" t="s">
        <v>213</v>
      </c>
      <c r="D4" s="5" t="s">
        <v>214</v>
      </c>
      <c r="E4" s="5" t="s">
        <v>197</v>
      </c>
      <c r="F4" s="5" t="s">
        <v>198</v>
      </c>
      <c r="G4" s="5" t="s">
        <v>199</v>
      </c>
      <c r="H4" s="5" t="s">
        <v>217</v>
      </c>
    </row>
    <row r="5" spans="1:8" x14ac:dyDescent="0.35">
      <c r="A5" s="8">
        <v>1</v>
      </c>
      <c r="B5" s="11" t="s">
        <v>5</v>
      </c>
      <c r="C5" s="8">
        <v>0.1</v>
      </c>
      <c r="D5" s="8">
        <v>0.1</v>
      </c>
      <c r="E5" s="8">
        <v>9.9849999999999994</v>
      </c>
      <c r="F5" s="8">
        <v>133.43899999999999</v>
      </c>
      <c r="G5" s="8">
        <v>8.3930000000000007</v>
      </c>
      <c r="H5" s="8"/>
    </row>
    <row r="6" spans="1:8" x14ac:dyDescent="0.35">
      <c r="A6" s="8">
        <v>2</v>
      </c>
      <c r="B6" s="11" t="s">
        <v>5</v>
      </c>
      <c r="C6" s="8">
        <v>0.1</v>
      </c>
      <c r="D6" s="8">
        <v>0.2</v>
      </c>
      <c r="E6" s="8">
        <v>11.396000000000001</v>
      </c>
      <c r="F6" s="8">
        <v>173.79300000000001</v>
      </c>
      <c r="G6" s="8">
        <v>9.4949999999999992</v>
      </c>
      <c r="H6" s="8"/>
    </row>
    <row r="7" spans="1:8" x14ac:dyDescent="0.35">
      <c r="A7" s="8">
        <v>3</v>
      </c>
      <c r="B7" s="11" t="s">
        <v>5</v>
      </c>
      <c r="C7" s="8">
        <v>0.1</v>
      </c>
      <c r="D7" s="8">
        <v>0.3</v>
      </c>
      <c r="E7" s="8">
        <v>12.598000000000001</v>
      </c>
      <c r="F7" s="8">
        <v>219.57400000000001</v>
      </c>
      <c r="G7" s="8">
        <v>10.647</v>
      </c>
      <c r="H7" s="8"/>
    </row>
    <row r="8" spans="1:8" x14ac:dyDescent="0.35">
      <c r="A8" s="8">
        <v>4</v>
      </c>
      <c r="B8" s="11" t="s">
        <v>5</v>
      </c>
      <c r="C8" s="8">
        <v>0.1</v>
      </c>
      <c r="D8" s="8">
        <v>0.4</v>
      </c>
      <c r="E8" s="8">
        <v>14.298</v>
      </c>
      <c r="F8" s="8">
        <v>280.911</v>
      </c>
      <c r="G8" s="8">
        <v>12.079000000000001</v>
      </c>
      <c r="H8" s="8"/>
    </row>
    <row r="9" spans="1:8" x14ac:dyDescent="0.35">
      <c r="A9" s="8">
        <v>5</v>
      </c>
      <c r="B9" s="11" t="s">
        <v>5</v>
      </c>
      <c r="C9" s="8">
        <v>0.1</v>
      </c>
      <c r="D9" s="8">
        <v>0.5</v>
      </c>
      <c r="E9" s="8">
        <v>16.817</v>
      </c>
      <c r="F9" s="8">
        <v>396.625</v>
      </c>
      <c r="G9" s="8">
        <v>14.246</v>
      </c>
      <c r="H9" s="8"/>
    </row>
    <row r="10" spans="1:8" x14ac:dyDescent="0.35">
      <c r="A10" s="8">
        <v>6</v>
      </c>
      <c r="B10" s="11" t="s">
        <v>5</v>
      </c>
      <c r="C10" s="8">
        <v>0.1</v>
      </c>
      <c r="D10" s="8">
        <v>0.6</v>
      </c>
      <c r="E10" s="8">
        <v>17.817</v>
      </c>
      <c r="F10" s="8">
        <v>471.63200000000001</v>
      </c>
      <c r="G10" s="8">
        <v>15.092000000000001</v>
      </c>
      <c r="H10" s="8"/>
    </row>
    <row r="11" spans="1:8" x14ac:dyDescent="0.35">
      <c r="A11" s="8">
        <v>7</v>
      </c>
      <c r="B11" s="11" t="s">
        <v>5</v>
      </c>
      <c r="C11" s="8">
        <v>0.1</v>
      </c>
      <c r="D11" s="8">
        <v>0.7</v>
      </c>
      <c r="E11" s="8">
        <v>18.673999999999999</v>
      </c>
      <c r="F11" s="8">
        <v>498.45800000000003</v>
      </c>
      <c r="G11" s="8">
        <v>15.754</v>
      </c>
      <c r="H11" s="8"/>
    </row>
    <row r="12" spans="1:8" x14ac:dyDescent="0.35">
      <c r="A12" s="8">
        <v>8</v>
      </c>
      <c r="B12" s="11" t="s">
        <v>5</v>
      </c>
      <c r="C12" s="8">
        <v>0.1</v>
      </c>
      <c r="D12" s="8">
        <v>0.8</v>
      </c>
      <c r="E12" s="8">
        <v>20.315999999999999</v>
      </c>
      <c r="F12" s="8">
        <v>554.577</v>
      </c>
      <c r="G12" s="8">
        <v>17.11</v>
      </c>
      <c r="H12" s="8"/>
    </row>
    <row r="13" spans="1:8" x14ac:dyDescent="0.35">
      <c r="A13" s="8">
        <v>9</v>
      </c>
      <c r="B13" s="11" t="s">
        <v>5</v>
      </c>
      <c r="C13" s="8">
        <v>0.1</v>
      </c>
      <c r="D13" s="8">
        <v>0.9</v>
      </c>
      <c r="E13" s="8">
        <v>22.102</v>
      </c>
      <c r="F13" s="8">
        <v>617.94000000000005</v>
      </c>
      <c r="G13" s="8">
        <v>18.603999999999999</v>
      </c>
      <c r="H13" s="8"/>
    </row>
    <row r="14" spans="1:8" x14ac:dyDescent="0.35">
      <c r="A14" s="8">
        <v>10</v>
      </c>
      <c r="B14" s="11" t="s">
        <v>5</v>
      </c>
      <c r="C14" s="8">
        <v>0.2</v>
      </c>
      <c r="D14" s="8">
        <v>0.1</v>
      </c>
      <c r="E14" s="8">
        <v>9.2729999999999997</v>
      </c>
      <c r="F14" s="8">
        <v>133.13399999999999</v>
      </c>
      <c r="G14" s="8">
        <v>7.8540000000000001</v>
      </c>
      <c r="H14" s="8"/>
    </row>
    <row r="15" spans="1:8" x14ac:dyDescent="0.35">
      <c r="A15" s="8">
        <v>11</v>
      </c>
      <c r="B15" s="11" t="s">
        <v>5</v>
      </c>
      <c r="C15" s="8">
        <v>0.2</v>
      </c>
      <c r="D15" s="8">
        <v>0.2</v>
      </c>
      <c r="E15" s="8">
        <v>10.775</v>
      </c>
      <c r="F15" s="8">
        <v>176.01499999999999</v>
      </c>
      <c r="G15" s="8">
        <v>9.1449999999999996</v>
      </c>
      <c r="H15" s="8"/>
    </row>
    <row r="16" spans="1:8" x14ac:dyDescent="0.35">
      <c r="A16" s="8">
        <v>12</v>
      </c>
      <c r="B16" s="11" t="s">
        <v>5</v>
      </c>
      <c r="C16" s="8">
        <v>0.2</v>
      </c>
      <c r="D16" s="8">
        <v>0.3</v>
      </c>
      <c r="E16" s="8">
        <v>12.864000000000001</v>
      </c>
      <c r="F16" s="8">
        <v>224.071</v>
      </c>
      <c r="G16" s="8">
        <v>10.914</v>
      </c>
      <c r="H16" s="8"/>
    </row>
    <row r="17" spans="1:8" x14ac:dyDescent="0.35">
      <c r="A17" s="8">
        <v>13</v>
      </c>
      <c r="B17" s="11" t="s">
        <v>5</v>
      </c>
      <c r="C17" s="8">
        <v>0.2</v>
      </c>
      <c r="D17" s="8">
        <v>0.4</v>
      </c>
      <c r="E17" s="8">
        <v>14.305999999999999</v>
      </c>
      <c r="F17" s="8">
        <v>259.392</v>
      </c>
      <c r="G17" s="8">
        <v>12.117000000000001</v>
      </c>
      <c r="H17" s="8"/>
    </row>
    <row r="18" spans="1:8" x14ac:dyDescent="0.35">
      <c r="A18" s="8">
        <v>14</v>
      </c>
      <c r="B18" s="11" t="s">
        <v>5</v>
      </c>
      <c r="C18" s="8">
        <v>0.2</v>
      </c>
      <c r="D18" s="8">
        <v>0.5</v>
      </c>
      <c r="E18" s="8">
        <v>14.805999999999999</v>
      </c>
      <c r="F18" s="8">
        <v>275.95299999999997</v>
      </c>
      <c r="G18" s="8">
        <v>12.548999999999999</v>
      </c>
      <c r="H18" s="8"/>
    </row>
    <row r="19" spans="1:8" x14ac:dyDescent="0.35">
      <c r="A19" s="8">
        <v>15</v>
      </c>
      <c r="B19" s="11" t="s">
        <v>5</v>
      </c>
      <c r="C19" s="8">
        <v>0.2</v>
      </c>
      <c r="D19" s="8">
        <v>0.6</v>
      </c>
      <c r="E19" s="8">
        <v>14.994</v>
      </c>
      <c r="F19" s="8">
        <v>278.86399999999998</v>
      </c>
      <c r="G19" s="8">
        <v>12.718</v>
      </c>
      <c r="H19" s="8"/>
    </row>
    <row r="20" spans="1:8" x14ac:dyDescent="0.35">
      <c r="A20" s="8">
        <v>16</v>
      </c>
      <c r="B20" s="11" t="s">
        <v>5</v>
      </c>
      <c r="C20" s="8">
        <v>0.2</v>
      </c>
      <c r="D20" s="8">
        <v>0.7</v>
      </c>
      <c r="E20" s="8">
        <v>14.771000000000001</v>
      </c>
      <c r="F20" s="8">
        <v>275.78399999999999</v>
      </c>
      <c r="G20" s="8">
        <v>12.56</v>
      </c>
      <c r="H20" s="8"/>
    </row>
    <row r="21" spans="1:8" x14ac:dyDescent="0.35">
      <c r="A21" s="8">
        <v>17</v>
      </c>
      <c r="B21" s="11" t="s">
        <v>5</v>
      </c>
      <c r="C21" s="8">
        <v>0.2</v>
      </c>
      <c r="D21" s="8">
        <v>0.8</v>
      </c>
      <c r="E21" s="8">
        <v>14.021000000000001</v>
      </c>
      <c r="F21" s="8">
        <v>266.83199999999999</v>
      </c>
      <c r="G21" s="8">
        <v>11.952999999999999</v>
      </c>
      <c r="H21" s="8"/>
    </row>
    <row r="22" spans="1:8" x14ac:dyDescent="0.35">
      <c r="A22" s="8">
        <v>18</v>
      </c>
      <c r="B22" s="11" t="s">
        <v>5</v>
      </c>
      <c r="C22" s="8">
        <v>0.2</v>
      </c>
      <c r="D22" s="8">
        <v>0.9</v>
      </c>
      <c r="E22" s="8">
        <v>13.161</v>
      </c>
      <c r="F22" s="8">
        <v>249.65</v>
      </c>
      <c r="G22" s="8">
        <v>11.194000000000001</v>
      </c>
      <c r="H22" s="8"/>
    </row>
    <row r="23" spans="1:8" x14ac:dyDescent="0.35">
      <c r="A23" s="8">
        <v>19</v>
      </c>
      <c r="B23" s="11" t="s">
        <v>5</v>
      </c>
      <c r="C23" s="8">
        <v>0.3</v>
      </c>
      <c r="D23" s="8">
        <v>0.1</v>
      </c>
      <c r="E23" s="8">
        <v>8.6189999999999998</v>
      </c>
      <c r="F23" s="8">
        <v>111.627</v>
      </c>
      <c r="G23" s="8">
        <v>7.3449999999999998</v>
      </c>
      <c r="H23" s="8"/>
    </row>
    <row r="24" spans="1:8" x14ac:dyDescent="0.35">
      <c r="A24" s="8">
        <v>20</v>
      </c>
      <c r="B24" s="11" t="s">
        <v>5</v>
      </c>
      <c r="C24" s="8">
        <v>0.3</v>
      </c>
      <c r="D24" s="8">
        <v>0.2</v>
      </c>
      <c r="E24" s="8">
        <v>9.9149999999999991</v>
      </c>
      <c r="F24" s="8">
        <v>138.18700000000001</v>
      </c>
      <c r="G24" s="8">
        <v>8.4450000000000003</v>
      </c>
      <c r="H24" s="8"/>
    </row>
    <row r="25" spans="1:8" x14ac:dyDescent="0.35">
      <c r="A25" s="8">
        <v>21</v>
      </c>
      <c r="B25" s="11" t="s">
        <v>5</v>
      </c>
      <c r="C25" s="8">
        <v>0.3</v>
      </c>
      <c r="D25" s="8">
        <v>0.3</v>
      </c>
      <c r="E25" s="8">
        <v>10.879</v>
      </c>
      <c r="F25" s="8">
        <v>157.411</v>
      </c>
      <c r="G25" s="8">
        <v>9.2579999999999991</v>
      </c>
      <c r="H25" s="8"/>
    </row>
    <row r="26" spans="1:8" x14ac:dyDescent="0.35">
      <c r="A26" s="8">
        <v>22</v>
      </c>
      <c r="B26" s="11" t="s">
        <v>5</v>
      </c>
      <c r="C26" s="8">
        <v>0.3</v>
      </c>
      <c r="D26" s="8">
        <v>0.4</v>
      </c>
      <c r="E26" s="8">
        <v>11.246</v>
      </c>
      <c r="F26" s="8">
        <v>164.57599999999999</v>
      </c>
      <c r="G26" s="8">
        <v>9.5719999999999992</v>
      </c>
      <c r="H26" s="8"/>
    </row>
    <row r="27" spans="1:8" x14ac:dyDescent="0.35">
      <c r="A27" s="8">
        <v>23</v>
      </c>
      <c r="B27" s="11" t="s">
        <v>5</v>
      </c>
      <c r="C27" s="8">
        <v>0.3</v>
      </c>
      <c r="D27" s="8">
        <v>0.5</v>
      </c>
      <c r="E27" s="8">
        <v>10.896000000000001</v>
      </c>
      <c r="F27" s="8">
        <v>162.297</v>
      </c>
      <c r="G27" s="8">
        <v>9.3109999999999999</v>
      </c>
      <c r="H27" s="8"/>
    </row>
    <row r="28" spans="1:8" x14ac:dyDescent="0.35">
      <c r="A28" s="8">
        <v>24</v>
      </c>
      <c r="B28" s="11" t="s">
        <v>5</v>
      </c>
      <c r="C28" s="8">
        <v>0.3</v>
      </c>
      <c r="D28" s="8">
        <v>0.6</v>
      </c>
      <c r="E28" s="8">
        <v>10.305999999999999</v>
      </c>
      <c r="F28" s="8">
        <v>153.21299999999999</v>
      </c>
      <c r="G28" s="8">
        <v>8.7989999999999995</v>
      </c>
      <c r="H28" s="8"/>
    </row>
    <row r="29" spans="1:8" x14ac:dyDescent="0.35">
      <c r="A29" s="8">
        <v>25</v>
      </c>
      <c r="B29" s="11" t="s">
        <v>5</v>
      </c>
      <c r="C29" s="8">
        <v>0.3</v>
      </c>
      <c r="D29" s="8">
        <v>0.7</v>
      </c>
      <c r="E29" s="8">
        <v>9.7219999999999995</v>
      </c>
      <c r="F29" s="8">
        <v>140.221</v>
      </c>
      <c r="G29" s="8">
        <v>8.2840000000000007</v>
      </c>
      <c r="H29" s="8"/>
    </row>
    <row r="30" spans="1:8" x14ac:dyDescent="0.35">
      <c r="A30" s="8">
        <v>26</v>
      </c>
      <c r="B30" s="11" t="s">
        <v>5</v>
      </c>
      <c r="C30" s="8">
        <v>0.3</v>
      </c>
      <c r="D30" s="8">
        <v>0.8</v>
      </c>
      <c r="E30" s="8">
        <v>8.9710000000000001</v>
      </c>
      <c r="F30" s="8">
        <v>126.928</v>
      </c>
      <c r="G30" s="8">
        <v>7.6360000000000001</v>
      </c>
      <c r="H30" s="8"/>
    </row>
    <row r="31" spans="1:8" x14ac:dyDescent="0.35">
      <c r="A31" s="8">
        <v>27</v>
      </c>
      <c r="B31" s="11" t="s">
        <v>5</v>
      </c>
      <c r="C31" s="8">
        <v>0.3</v>
      </c>
      <c r="D31" s="8">
        <v>0.9</v>
      </c>
      <c r="E31" s="8">
        <v>8.343</v>
      </c>
      <c r="F31" s="8">
        <v>115.988</v>
      </c>
      <c r="G31" s="8">
        <v>7.1130000000000004</v>
      </c>
      <c r="H31" s="8"/>
    </row>
    <row r="32" spans="1:8" x14ac:dyDescent="0.35">
      <c r="A32" s="8">
        <v>28</v>
      </c>
      <c r="B32" s="11" t="s">
        <v>5</v>
      </c>
      <c r="C32" s="8">
        <v>0.4</v>
      </c>
      <c r="D32" s="8">
        <v>0.1</v>
      </c>
      <c r="E32" s="8">
        <v>7.5259999999999998</v>
      </c>
      <c r="F32" s="8">
        <v>91.82</v>
      </c>
      <c r="G32" s="8">
        <v>6.4329999999999998</v>
      </c>
      <c r="H32" s="8"/>
    </row>
    <row r="33" spans="1:8" x14ac:dyDescent="0.35">
      <c r="A33" s="8">
        <v>29</v>
      </c>
      <c r="B33" s="11" t="s">
        <v>5</v>
      </c>
      <c r="C33" s="8">
        <v>0.4</v>
      </c>
      <c r="D33" s="8">
        <v>0.2</v>
      </c>
      <c r="E33" s="8">
        <v>8.5619999999999994</v>
      </c>
      <c r="F33" s="8">
        <v>106.81</v>
      </c>
      <c r="G33" s="8">
        <v>7.3090000000000002</v>
      </c>
      <c r="H33" s="8"/>
    </row>
    <row r="34" spans="1:8" x14ac:dyDescent="0.35">
      <c r="A34" s="8">
        <v>30</v>
      </c>
      <c r="B34" s="11" t="s">
        <v>5</v>
      </c>
      <c r="C34" s="8">
        <v>0.4</v>
      </c>
      <c r="D34" s="8">
        <v>0.3</v>
      </c>
      <c r="E34" s="8">
        <v>9.0470000000000006</v>
      </c>
      <c r="F34" s="8">
        <v>114.515</v>
      </c>
      <c r="G34" s="8">
        <v>7.7359999999999998</v>
      </c>
      <c r="H34" s="8"/>
    </row>
    <row r="35" spans="1:8" x14ac:dyDescent="0.35">
      <c r="A35" s="8">
        <v>31</v>
      </c>
      <c r="B35" s="11" t="s">
        <v>5</v>
      </c>
      <c r="C35" s="8">
        <v>0.4</v>
      </c>
      <c r="D35" s="8">
        <v>0.4</v>
      </c>
      <c r="E35" s="8">
        <v>8.92</v>
      </c>
      <c r="F35" s="8">
        <v>114.52</v>
      </c>
      <c r="G35" s="8">
        <v>7.6390000000000002</v>
      </c>
      <c r="H35" s="8"/>
    </row>
    <row r="36" spans="1:8" x14ac:dyDescent="0.35">
      <c r="A36" s="8">
        <v>32</v>
      </c>
      <c r="B36" s="11" t="s">
        <v>5</v>
      </c>
      <c r="C36" s="8">
        <v>0.4</v>
      </c>
      <c r="D36" s="8">
        <v>0.5</v>
      </c>
      <c r="E36" s="8">
        <v>8.5719999999999992</v>
      </c>
      <c r="F36" s="8">
        <v>109.60599999999999</v>
      </c>
      <c r="G36" s="8">
        <v>7.3330000000000002</v>
      </c>
      <c r="H36" s="8"/>
    </row>
    <row r="37" spans="1:8" x14ac:dyDescent="0.35">
      <c r="A37" s="8">
        <v>33</v>
      </c>
      <c r="B37" s="11" t="s">
        <v>5</v>
      </c>
      <c r="C37" s="8">
        <v>0.4</v>
      </c>
      <c r="D37" s="8">
        <v>0.6</v>
      </c>
      <c r="E37" s="8">
        <v>8.0830000000000002</v>
      </c>
      <c r="F37" s="8">
        <v>103.045</v>
      </c>
      <c r="G37" s="8">
        <v>6.9180000000000001</v>
      </c>
      <c r="H37" s="8"/>
    </row>
    <row r="38" spans="1:8" x14ac:dyDescent="0.35">
      <c r="A38" s="8">
        <v>34</v>
      </c>
      <c r="B38" s="11" t="s">
        <v>5</v>
      </c>
      <c r="C38" s="8">
        <v>0.4</v>
      </c>
      <c r="D38" s="8">
        <v>0.7</v>
      </c>
      <c r="E38" s="8">
        <v>7.7089999999999996</v>
      </c>
      <c r="F38" s="8">
        <v>97.382999999999996</v>
      </c>
      <c r="G38" s="8">
        <v>6.6139999999999999</v>
      </c>
      <c r="H38" s="8"/>
    </row>
    <row r="39" spans="1:8" x14ac:dyDescent="0.35">
      <c r="A39" s="8">
        <v>35</v>
      </c>
      <c r="B39" s="11" t="s">
        <v>5</v>
      </c>
      <c r="C39" s="8">
        <v>0.4</v>
      </c>
      <c r="D39" s="8">
        <v>0.8</v>
      </c>
      <c r="E39" s="8">
        <v>7.5149999999999997</v>
      </c>
      <c r="F39" s="8">
        <v>93.774000000000001</v>
      </c>
      <c r="G39" s="8">
        <v>6.4560000000000004</v>
      </c>
      <c r="H39" s="8"/>
    </row>
    <row r="40" spans="1:8" x14ac:dyDescent="0.35">
      <c r="A40" s="8">
        <v>36</v>
      </c>
      <c r="B40" s="11" t="s">
        <v>5</v>
      </c>
      <c r="C40" s="8">
        <v>0.4</v>
      </c>
      <c r="D40" s="8">
        <v>0.9</v>
      </c>
      <c r="E40" s="8">
        <v>7.5170000000000003</v>
      </c>
      <c r="F40" s="8">
        <v>92.344999999999999</v>
      </c>
      <c r="G40" s="8">
        <v>6.4560000000000004</v>
      </c>
      <c r="H40" s="8"/>
    </row>
    <row r="41" spans="1:8" x14ac:dyDescent="0.35">
      <c r="A41" s="8">
        <v>37</v>
      </c>
      <c r="B41" s="11" t="s">
        <v>5</v>
      </c>
      <c r="C41" s="8">
        <v>0.5</v>
      </c>
      <c r="D41" s="8">
        <v>0.1</v>
      </c>
      <c r="E41" s="8">
        <v>6.7750000000000004</v>
      </c>
      <c r="F41" s="8">
        <v>78.216999999999999</v>
      </c>
      <c r="G41" s="8">
        <v>5.8</v>
      </c>
      <c r="H41" s="8"/>
    </row>
    <row r="42" spans="1:8" x14ac:dyDescent="0.35">
      <c r="A42" s="8">
        <v>38</v>
      </c>
      <c r="B42" s="11" t="s">
        <v>5</v>
      </c>
      <c r="C42" s="8">
        <v>0.5</v>
      </c>
      <c r="D42" s="8">
        <v>0.2</v>
      </c>
      <c r="E42" s="8">
        <v>7.5590000000000002</v>
      </c>
      <c r="F42" s="8">
        <v>87.564999999999998</v>
      </c>
      <c r="G42" s="8">
        <v>6.4770000000000003</v>
      </c>
      <c r="H42" s="8"/>
    </row>
    <row r="43" spans="1:8" x14ac:dyDescent="0.35">
      <c r="A43" s="8">
        <v>39</v>
      </c>
      <c r="B43" s="11" t="s">
        <v>5</v>
      </c>
      <c r="C43" s="8">
        <v>0.5</v>
      </c>
      <c r="D43" s="8">
        <v>0.3</v>
      </c>
      <c r="E43" s="8">
        <v>7.7469999999999999</v>
      </c>
      <c r="F43" s="8">
        <v>91.349000000000004</v>
      </c>
      <c r="G43" s="8">
        <v>6.6470000000000002</v>
      </c>
      <c r="H43" s="8"/>
    </row>
    <row r="44" spans="1:8" x14ac:dyDescent="0.35">
      <c r="A44" s="8">
        <v>40</v>
      </c>
      <c r="B44" s="11" t="s">
        <v>5</v>
      </c>
      <c r="C44" s="8">
        <v>0.5</v>
      </c>
      <c r="D44" s="8">
        <v>0.4</v>
      </c>
      <c r="E44" s="8">
        <v>7.5890000000000004</v>
      </c>
      <c r="F44" s="8">
        <v>90.491</v>
      </c>
      <c r="G44" s="8">
        <v>6.5069999999999997</v>
      </c>
      <c r="H44" s="8"/>
    </row>
    <row r="45" spans="1:8" x14ac:dyDescent="0.35">
      <c r="A45" s="8">
        <v>41</v>
      </c>
      <c r="B45" s="11" t="s">
        <v>5</v>
      </c>
      <c r="C45" s="8">
        <v>0.5</v>
      </c>
      <c r="D45" s="8">
        <v>0.5</v>
      </c>
      <c r="E45" s="8">
        <v>7.391</v>
      </c>
      <c r="F45" s="8">
        <v>87.671999999999997</v>
      </c>
      <c r="G45" s="8">
        <v>6.3460000000000001</v>
      </c>
      <c r="H45" s="8"/>
    </row>
    <row r="46" spans="1:8" x14ac:dyDescent="0.35">
      <c r="A46" s="8">
        <v>42</v>
      </c>
      <c r="B46" s="11" t="s">
        <v>5</v>
      </c>
      <c r="C46" s="8">
        <v>0.5</v>
      </c>
      <c r="D46" s="8">
        <v>0.6</v>
      </c>
      <c r="E46" s="8">
        <v>7.2140000000000004</v>
      </c>
      <c r="F46" s="8">
        <v>85.057000000000002</v>
      </c>
      <c r="G46" s="8">
        <v>6.1959999999999997</v>
      </c>
      <c r="H46" s="8"/>
    </row>
    <row r="47" spans="1:8" x14ac:dyDescent="0.35">
      <c r="A47" s="8">
        <v>43</v>
      </c>
      <c r="B47" s="11" t="s">
        <v>5</v>
      </c>
      <c r="C47" s="8">
        <v>0.5</v>
      </c>
      <c r="D47" s="8">
        <v>0.7</v>
      </c>
      <c r="E47" s="8">
        <v>7.0739999999999998</v>
      </c>
      <c r="F47" s="8">
        <v>83.616</v>
      </c>
      <c r="G47" s="8">
        <v>6.077</v>
      </c>
      <c r="H47" s="8"/>
    </row>
    <row r="48" spans="1:8" x14ac:dyDescent="0.35">
      <c r="A48" s="8">
        <v>44</v>
      </c>
      <c r="B48" s="11" t="s">
        <v>5</v>
      </c>
      <c r="C48" s="8">
        <v>0.5</v>
      </c>
      <c r="D48" s="8">
        <v>0.8</v>
      </c>
      <c r="E48" s="8">
        <v>7.0069999999999997</v>
      </c>
      <c r="F48" s="8">
        <v>83.424000000000007</v>
      </c>
      <c r="G48" s="8">
        <v>6.0250000000000004</v>
      </c>
      <c r="H48" s="8"/>
    </row>
    <row r="49" spans="1:8" x14ac:dyDescent="0.35">
      <c r="A49" s="8">
        <v>45</v>
      </c>
      <c r="B49" s="11" t="s">
        <v>5</v>
      </c>
      <c r="C49" s="8">
        <v>0.5</v>
      </c>
      <c r="D49" s="8">
        <v>0.9</v>
      </c>
      <c r="E49" s="8">
        <v>7.117</v>
      </c>
      <c r="F49" s="8">
        <v>84.119</v>
      </c>
      <c r="G49" s="8">
        <v>6.1340000000000003</v>
      </c>
      <c r="H49" s="8"/>
    </row>
    <row r="50" spans="1:8" x14ac:dyDescent="0.35">
      <c r="A50" s="8">
        <v>46</v>
      </c>
      <c r="B50" s="11" t="s">
        <v>5</v>
      </c>
      <c r="C50" s="8">
        <v>0.6</v>
      </c>
      <c r="D50" s="8">
        <v>0.1</v>
      </c>
      <c r="E50" s="8">
        <v>6.3559999999999999</v>
      </c>
      <c r="F50" s="8">
        <v>69.251999999999995</v>
      </c>
      <c r="G50" s="8">
        <v>5.4459999999999997</v>
      </c>
      <c r="H50" s="8"/>
    </row>
    <row r="51" spans="1:8" x14ac:dyDescent="0.35">
      <c r="A51" s="8">
        <v>47</v>
      </c>
      <c r="B51" s="11" t="s">
        <v>5</v>
      </c>
      <c r="C51" s="8">
        <v>0.6</v>
      </c>
      <c r="D51" s="8">
        <v>0.2</v>
      </c>
      <c r="E51" s="8">
        <v>6.8550000000000004</v>
      </c>
      <c r="F51" s="8">
        <v>75.847999999999999</v>
      </c>
      <c r="G51" s="8">
        <v>5.88</v>
      </c>
      <c r="H51" s="8"/>
    </row>
    <row r="52" spans="1:8" x14ac:dyDescent="0.35">
      <c r="A52" s="8">
        <v>48</v>
      </c>
      <c r="B52" s="11" t="s">
        <v>5</v>
      </c>
      <c r="C52" s="8">
        <v>0.6</v>
      </c>
      <c r="D52" s="8">
        <v>0.3</v>
      </c>
      <c r="E52" s="8">
        <v>6.931</v>
      </c>
      <c r="F52" s="8">
        <v>78.323999999999998</v>
      </c>
      <c r="G52" s="8">
        <v>5.9530000000000003</v>
      </c>
      <c r="H52" s="8"/>
    </row>
    <row r="53" spans="1:8" x14ac:dyDescent="0.35">
      <c r="A53" s="8">
        <v>49</v>
      </c>
      <c r="B53" s="11" t="s">
        <v>5</v>
      </c>
      <c r="C53" s="8">
        <v>0.6</v>
      </c>
      <c r="D53" s="8">
        <v>0.4</v>
      </c>
      <c r="E53" s="8">
        <v>6.923</v>
      </c>
      <c r="F53" s="8">
        <v>77.941999999999993</v>
      </c>
      <c r="G53" s="8">
        <v>5.9429999999999996</v>
      </c>
      <c r="H53" s="8"/>
    </row>
    <row r="54" spans="1:8" x14ac:dyDescent="0.35">
      <c r="A54" s="8">
        <v>50</v>
      </c>
      <c r="B54" s="11" t="s">
        <v>5</v>
      </c>
      <c r="C54" s="8">
        <v>0.6</v>
      </c>
      <c r="D54" s="8">
        <v>0.5</v>
      </c>
      <c r="E54" s="8">
        <v>6.8049999999999997</v>
      </c>
      <c r="F54" s="8">
        <v>76.703000000000003</v>
      </c>
      <c r="G54" s="8">
        <v>5.8369999999999997</v>
      </c>
      <c r="H54" s="8"/>
    </row>
    <row r="55" spans="1:8" x14ac:dyDescent="0.35">
      <c r="A55" s="8">
        <v>51</v>
      </c>
      <c r="B55" s="11" t="s">
        <v>5</v>
      </c>
      <c r="C55" s="8">
        <v>0.6</v>
      </c>
      <c r="D55" s="8">
        <v>0.6</v>
      </c>
      <c r="E55" s="8">
        <v>6.758</v>
      </c>
      <c r="F55" s="8">
        <v>75.763999999999996</v>
      </c>
      <c r="G55" s="8">
        <v>5.806</v>
      </c>
      <c r="H55" s="8"/>
    </row>
    <row r="56" spans="1:8" x14ac:dyDescent="0.35">
      <c r="A56" s="8">
        <v>52</v>
      </c>
      <c r="B56" s="11" t="s">
        <v>5</v>
      </c>
      <c r="C56" s="8">
        <v>0.6</v>
      </c>
      <c r="D56" s="8">
        <v>0.7</v>
      </c>
      <c r="E56" s="8">
        <v>6.8310000000000004</v>
      </c>
      <c r="F56" s="8">
        <v>75.379000000000005</v>
      </c>
      <c r="G56" s="8">
        <v>5.883</v>
      </c>
      <c r="H56" s="8"/>
    </row>
    <row r="57" spans="1:8" x14ac:dyDescent="0.35">
      <c r="A57" s="8">
        <v>53</v>
      </c>
      <c r="B57" s="11" t="s">
        <v>5</v>
      </c>
      <c r="C57" s="8">
        <v>0.6</v>
      </c>
      <c r="D57" s="8">
        <v>0.8</v>
      </c>
      <c r="E57" s="8">
        <v>6.8719999999999999</v>
      </c>
      <c r="F57" s="8">
        <v>75.322000000000003</v>
      </c>
      <c r="G57" s="8">
        <v>5.93</v>
      </c>
      <c r="H57" s="8"/>
    </row>
    <row r="58" spans="1:8" x14ac:dyDescent="0.35">
      <c r="A58" s="8">
        <v>54</v>
      </c>
      <c r="B58" s="11" t="s">
        <v>5</v>
      </c>
      <c r="C58" s="8">
        <v>0.6</v>
      </c>
      <c r="D58" s="8">
        <v>0.9</v>
      </c>
      <c r="E58" s="8">
        <v>6.9909999999999997</v>
      </c>
      <c r="F58" s="8">
        <v>75.236999999999995</v>
      </c>
      <c r="G58" s="8">
        <v>6.0279999999999996</v>
      </c>
      <c r="H58" s="8"/>
    </row>
    <row r="59" spans="1:8" x14ac:dyDescent="0.35">
      <c r="A59" s="8">
        <v>55</v>
      </c>
      <c r="B59" s="11" t="s">
        <v>5</v>
      </c>
      <c r="C59" s="8">
        <v>0.7</v>
      </c>
      <c r="D59" s="8">
        <v>0.1</v>
      </c>
      <c r="E59" s="8">
        <v>6.109</v>
      </c>
      <c r="F59" s="8">
        <v>63.103999999999999</v>
      </c>
      <c r="G59" s="8">
        <v>5.2279999999999998</v>
      </c>
      <c r="H59" s="8"/>
    </row>
    <row r="60" spans="1:8" x14ac:dyDescent="0.35">
      <c r="A60" s="8">
        <v>56</v>
      </c>
      <c r="B60" s="11" t="s">
        <v>5</v>
      </c>
      <c r="C60" s="8">
        <v>0.7</v>
      </c>
      <c r="D60" s="8">
        <v>0.2</v>
      </c>
      <c r="E60" s="8">
        <v>6.492</v>
      </c>
      <c r="F60" s="8">
        <v>68.183000000000007</v>
      </c>
      <c r="G60" s="8">
        <v>5.556</v>
      </c>
      <c r="H60" s="8"/>
    </row>
    <row r="61" spans="1:8" x14ac:dyDescent="0.35">
      <c r="A61" s="8">
        <v>57</v>
      </c>
      <c r="B61" s="11" t="s">
        <v>5</v>
      </c>
      <c r="C61" s="8">
        <v>0.7</v>
      </c>
      <c r="D61" s="8">
        <v>0.3</v>
      </c>
      <c r="E61" s="8">
        <v>6.5640000000000001</v>
      </c>
      <c r="F61" s="8">
        <v>70.106999999999999</v>
      </c>
      <c r="G61" s="8">
        <v>5.62</v>
      </c>
      <c r="H61" s="8"/>
    </row>
    <row r="62" spans="1:8" x14ac:dyDescent="0.35">
      <c r="A62" s="8">
        <v>58</v>
      </c>
      <c r="B62" s="11" t="s">
        <v>5</v>
      </c>
      <c r="C62" s="8">
        <v>0.7</v>
      </c>
      <c r="D62" s="8">
        <v>0.4</v>
      </c>
      <c r="E62" s="8">
        <v>6.4960000000000004</v>
      </c>
      <c r="F62" s="8">
        <v>70.063999999999993</v>
      </c>
      <c r="G62" s="8">
        <v>5.5670000000000002</v>
      </c>
      <c r="H62" s="8"/>
    </row>
    <row r="63" spans="1:8" x14ac:dyDescent="0.35">
      <c r="A63" s="8">
        <v>59</v>
      </c>
      <c r="B63" s="11" t="s">
        <v>5</v>
      </c>
      <c r="C63" s="8">
        <v>0.7</v>
      </c>
      <c r="D63" s="8">
        <v>0.5</v>
      </c>
      <c r="E63" s="8">
        <v>6.5810000000000004</v>
      </c>
      <c r="F63" s="8">
        <v>69.44</v>
      </c>
      <c r="G63" s="8">
        <v>5.65</v>
      </c>
      <c r="H63" s="8"/>
    </row>
    <row r="64" spans="1:8" x14ac:dyDescent="0.35">
      <c r="A64" s="8">
        <v>60</v>
      </c>
      <c r="B64" s="11" t="s">
        <v>5</v>
      </c>
      <c r="C64" s="8">
        <v>0.7</v>
      </c>
      <c r="D64" s="8">
        <v>0.6</v>
      </c>
      <c r="E64" s="8">
        <v>6.726</v>
      </c>
      <c r="F64" s="8">
        <v>68.853999999999999</v>
      </c>
      <c r="G64" s="8">
        <v>5.7759999999999998</v>
      </c>
      <c r="H64" s="8"/>
    </row>
    <row r="65" spans="1:8" x14ac:dyDescent="0.35">
      <c r="A65" s="8">
        <v>61</v>
      </c>
      <c r="B65" s="11" t="s">
        <v>5</v>
      </c>
      <c r="C65" s="8">
        <v>0.7</v>
      </c>
      <c r="D65" s="8">
        <v>0.7</v>
      </c>
      <c r="E65" s="8">
        <v>6.8390000000000004</v>
      </c>
      <c r="F65" s="8">
        <v>68.352999999999994</v>
      </c>
      <c r="G65" s="8">
        <v>5.8710000000000004</v>
      </c>
      <c r="H65" s="8"/>
    </row>
    <row r="66" spans="1:8" x14ac:dyDescent="0.35">
      <c r="A66" s="8">
        <v>62</v>
      </c>
      <c r="B66" s="11" t="s">
        <v>5</v>
      </c>
      <c r="C66" s="8">
        <v>0.7</v>
      </c>
      <c r="D66" s="8">
        <v>0.8</v>
      </c>
      <c r="E66" s="8">
        <v>6.9180000000000001</v>
      </c>
      <c r="F66" s="8">
        <v>67.786000000000001</v>
      </c>
      <c r="G66" s="8">
        <v>5.931</v>
      </c>
      <c r="H66" s="8"/>
    </row>
    <row r="67" spans="1:8" x14ac:dyDescent="0.35">
      <c r="A67" s="8">
        <v>63</v>
      </c>
      <c r="B67" s="11" t="s">
        <v>5</v>
      </c>
      <c r="C67" s="8">
        <v>0.7</v>
      </c>
      <c r="D67" s="8">
        <v>0.9</v>
      </c>
      <c r="E67" s="8">
        <v>6.9569999999999999</v>
      </c>
      <c r="F67" s="8">
        <v>67.031999999999996</v>
      </c>
      <c r="G67" s="8">
        <v>5.9550000000000001</v>
      </c>
      <c r="H67" s="8"/>
    </row>
    <row r="68" spans="1:8" x14ac:dyDescent="0.35">
      <c r="A68" s="8">
        <v>64</v>
      </c>
      <c r="B68" s="11" t="s">
        <v>5</v>
      </c>
      <c r="C68" s="8">
        <v>0.8</v>
      </c>
      <c r="D68" s="8">
        <v>0.1</v>
      </c>
      <c r="E68" s="8">
        <v>5.9470000000000001</v>
      </c>
      <c r="F68" s="8">
        <v>58.69</v>
      </c>
      <c r="G68" s="8">
        <v>5.0720000000000001</v>
      </c>
      <c r="H68" s="8"/>
    </row>
    <row r="69" spans="1:8" x14ac:dyDescent="0.35">
      <c r="A69" s="8">
        <v>65</v>
      </c>
      <c r="B69" s="11" t="s">
        <v>5</v>
      </c>
      <c r="C69" s="8">
        <v>0.8</v>
      </c>
      <c r="D69" s="8">
        <v>0.2</v>
      </c>
      <c r="E69" s="8">
        <v>6.2430000000000003</v>
      </c>
      <c r="F69" s="8">
        <v>62.817</v>
      </c>
      <c r="G69" s="8">
        <v>5.3220000000000001</v>
      </c>
      <c r="H69" s="8"/>
    </row>
    <row r="70" spans="1:8" x14ac:dyDescent="0.35">
      <c r="A70" s="8">
        <v>66</v>
      </c>
      <c r="B70" s="11" t="s">
        <v>5</v>
      </c>
      <c r="C70" s="8">
        <v>0.8</v>
      </c>
      <c r="D70" s="8">
        <v>0.3</v>
      </c>
      <c r="E70" s="8">
        <v>6.3120000000000003</v>
      </c>
      <c r="F70" s="8">
        <v>64.421000000000006</v>
      </c>
      <c r="G70" s="8">
        <v>5.3849999999999998</v>
      </c>
      <c r="H70" s="8"/>
    </row>
    <row r="71" spans="1:8" x14ac:dyDescent="0.35">
      <c r="A71" s="8">
        <v>67</v>
      </c>
      <c r="B71" s="11" t="s">
        <v>5</v>
      </c>
      <c r="C71" s="8">
        <v>0.8</v>
      </c>
      <c r="D71" s="8">
        <v>0.4</v>
      </c>
      <c r="E71" s="8">
        <v>6.516</v>
      </c>
      <c r="F71" s="8">
        <v>64.525000000000006</v>
      </c>
      <c r="G71" s="8">
        <v>5.569</v>
      </c>
      <c r="H71" s="8"/>
    </row>
    <row r="72" spans="1:8" x14ac:dyDescent="0.35">
      <c r="A72" s="8">
        <v>68</v>
      </c>
      <c r="B72" s="11" t="s">
        <v>5</v>
      </c>
      <c r="C72" s="8">
        <v>0.8</v>
      </c>
      <c r="D72" s="8">
        <v>0.5</v>
      </c>
      <c r="E72" s="8">
        <v>6.6840000000000002</v>
      </c>
      <c r="F72" s="8">
        <v>64.134</v>
      </c>
      <c r="G72" s="8">
        <v>5.7140000000000004</v>
      </c>
      <c r="H72" s="8"/>
    </row>
    <row r="73" spans="1:8" x14ac:dyDescent="0.35">
      <c r="A73" s="8">
        <v>69</v>
      </c>
      <c r="B73" s="11" t="s">
        <v>5</v>
      </c>
      <c r="C73" s="8">
        <v>0.8</v>
      </c>
      <c r="D73" s="8">
        <v>0.6</v>
      </c>
      <c r="E73" s="8">
        <v>6.798</v>
      </c>
      <c r="F73" s="8">
        <v>63.662999999999997</v>
      </c>
      <c r="G73" s="8">
        <v>5.8070000000000004</v>
      </c>
      <c r="H73" s="8"/>
    </row>
    <row r="74" spans="1:8" x14ac:dyDescent="0.35">
      <c r="A74" s="8">
        <v>70</v>
      </c>
      <c r="B74" s="11" t="s">
        <v>5</v>
      </c>
      <c r="C74" s="8">
        <v>0.8</v>
      </c>
      <c r="D74" s="8">
        <v>0.7</v>
      </c>
      <c r="E74" s="8">
        <v>6.8719999999999999</v>
      </c>
      <c r="F74" s="8">
        <v>63.191000000000003</v>
      </c>
      <c r="G74" s="8">
        <v>5.8609999999999998</v>
      </c>
      <c r="H74" s="8"/>
    </row>
    <row r="75" spans="1:8" x14ac:dyDescent="0.35">
      <c r="A75" s="8">
        <v>71</v>
      </c>
      <c r="B75" s="11" t="s">
        <v>5</v>
      </c>
      <c r="C75" s="8">
        <v>0.8</v>
      </c>
      <c r="D75" s="8">
        <v>0.8</v>
      </c>
      <c r="E75" s="8">
        <v>6.9119999999999999</v>
      </c>
      <c r="F75" s="8">
        <v>62.731999999999999</v>
      </c>
      <c r="G75" s="8">
        <v>5.883</v>
      </c>
      <c r="H75" s="8"/>
    </row>
    <row r="76" spans="1:8" x14ac:dyDescent="0.35">
      <c r="A76" s="8">
        <v>72</v>
      </c>
      <c r="B76" s="11" t="s">
        <v>5</v>
      </c>
      <c r="C76" s="8">
        <v>0.8</v>
      </c>
      <c r="D76" s="8">
        <v>0.9</v>
      </c>
      <c r="E76" s="8">
        <v>6.9249999999999998</v>
      </c>
      <c r="F76" s="8">
        <v>62.354999999999997</v>
      </c>
      <c r="G76" s="8">
        <v>5.8789999999999996</v>
      </c>
      <c r="H76" s="8"/>
    </row>
    <row r="77" spans="1:8" x14ac:dyDescent="0.35">
      <c r="A77" s="29">
        <v>73</v>
      </c>
      <c r="B77" s="30" t="s">
        <v>5</v>
      </c>
      <c r="C77" s="29">
        <v>0.9</v>
      </c>
      <c r="D77" s="29">
        <v>0.1</v>
      </c>
      <c r="E77" s="29">
        <v>5.7939999999999996</v>
      </c>
      <c r="F77" s="29">
        <v>55.512</v>
      </c>
      <c r="G77" s="29">
        <v>4.92</v>
      </c>
      <c r="H77" s="29" t="s">
        <v>218</v>
      </c>
    </row>
    <row r="78" spans="1:8" x14ac:dyDescent="0.35">
      <c r="A78" s="8">
        <v>74</v>
      </c>
      <c r="B78" s="11" t="s">
        <v>5</v>
      </c>
      <c r="C78" s="8">
        <v>0.9</v>
      </c>
      <c r="D78" s="8">
        <v>0.2</v>
      </c>
      <c r="E78" s="8">
        <v>6.0419999999999998</v>
      </c>
      <c r="F78" s="8">
        <v>59.042000000000002</v>
      </c>
      <c r="G78" s="8">
        <v>5.1289999999999996</v>
      </c>
      <c r="H78" s="8"/>
    </row>
    <row r="79" spans="1:8" x14ac:dyDescent="0.35">
      <c r="A79" s="8">
        <v>75</v>
      </c>
      <c r="B79" s="11" t="s">
        <v>5</v>
      </c>
      <c r="C79" s="8">
        <v>0.9</v>
      </c>
      <c r="D79" s="8">
        <v>0.3</v>
      </c>
      <c r="E79" s="8">
        <v>6.39</v>
      </c>
      <c r="F79" s="8">
        <v>60.518000000000001</v>
      </c>
      <c r="G79" s="8">
        <v>5.4359999999999999</v>
      </c>
      <c r="H79" s="8"/>
    </row>
    <row r="80" spans="1:8" x14ac:dyDescent="0.35">
      <c r="A80" s="8">
        <v>76</v>
      </c>
      <c r="B80" s="11" t="s">
        <v>5</v>
      </c>
      <c r="C80" s="8">
        <v>0.9</v>
      </c>
      <c r="D80" s="8">
        <v>0.4</v>
      </c>
      <c r="E80" s="8">
        <v>6.625</v>
      </c>
      <c r="F80" s="8">
        <v>60.84</v>
      </c>
      <c r="G80" s="8">
        <v>5.6379999999999999</v>
      </c>
      <c r="H80" s="8"/>
    </row>
    <row r="81" spans="1:8" x14ac:dyDescent="0.35">
      <c r="A81" s="8">
        <v>77</v>
      </c>
      <c r="B81" s="11" t="s">
        <v>5</v>
      </c>
      <c r="C81" s="8">
        <v>0.9</v>
      </c>
      <c r="D81" s="8">
        <v>0.5</v>
      </c>
      <c r="E81" s="8">
        <v>6.7720000000000002</v>
      </c>
      <c r="F81" s="8">
        <v>60.817999999999998</v>
      </c>
      <c r="G81" s="8">
        <v>5.7590000000000003</v>
      </c>
      <c r="H81" s="8"/>
    </row>
    <row r="82" spans="1:8" x14ac:dyDescent="0.35">
      <c r="A82" s="8">
        <v>78</v>
      </c>
      <c r="B82" s="11" t="s">
        <v>5</v>
      </c>
      <c r="C82" s="8">
        <v>0.9</v>
      </c>
      <c r="D82" s="8">
        <v>0.6</v>
      </c>
      <c r="E82" s="8">
        <v>6.87</v>
      </c>
      <c r="F82" s="8">
        <v>60.834000000000003</v>
      </c>
      <c r="G82" s="8">
        <v>5.8319999999999999</v>
      </c>
      <c r="H82" s="8"/>
    </row>
    <row r="83" spans="1:8" x14ac:dyDescent="0.35">
      <c r="A83" s="8">
        <v>79</v>
      </c>
      <c r="B83" s="11" t="s">
        <v>5</v>
      </c>
      <c r="C83" s="8">
        <v>0.9</v>
      </c>
      <c r="D83" s="8">
        <v>0.7</v>
      </c>
      <c r="E83" s="8">
        <v>6.9379999999999997</v>
      </c>
      <c r="F83" s="8">
        <v>61.064</v>
      </c>
      <c r="G83" s="8">
        <v>5.8760000000000003</v>
      </c>
      <c r="H83" s="8"/>
    </row>
    <row r="84" spans="1:8" x14ac:dyDescent="0.35">
      <c r="A84" s="8">
        <v>80</v>
      </c>
      <c r="B84" s="11" t="s">
        <v>5</v>
      </c>
      <c r="C84" s="8">
        <v>0.9</v>
      </c>
      <c r="D84" s="8">
        <v>0.8</v>
      </c>
      <c r="E84" s="8">
        <v>6.9880000000000004</v>
      </c>
      <c r="F84" s="8">
        <v>61.661999999999999</v>
      </c>
      <c r="G84" s="8">
        <v>5.9009999999999998</v>
      </c>
      <c r="H84" s="8"/>
    </row>
    <row r="85" spans="1:8" x14ac:dyDescent="0.35">
      <c r="A85" s="8">
        <v>81</v>
      </c>
      <c r="B85" s="11" t="s">
        <v>5</v>
      </c>
      <c r="C85" s="8">
        <v>0.9</v>
      </c>
      <c r="D85" s="8">
        <v>0.9</v>
      </c>
      <c r="E85" s="8">
        <v>7.14</v>
      </c>
      <c r="F85" s="8">
        <v>62.817</v>
      </c>
      <c r="G85" s="8">
        <v>6.0190000000000001</v>
      </c>
      <c r="H85" s="8"/>
    </row>
    <row r="86" spans="1:8" x14ac:dyDescent="0.35">
      <c r="A86" s="8">
        <v>82</v>
      </c>
      <c r="B86" s="11" t="s">
        <v>7</v>
      </c>
      <c r="C86" s="8">
        <v>0.1</v>
      </c>
      <c r="D86" s="8">
        <v>0.1</v>
      </c>
      <c r="E86" s="8">
        <v>6.8810000000000002</v>
      </c>
      <c r="F86" s="8">
        <v>70.69</v>
      </c>
      <c r="G86" s="8">
        <v>6.2249999999999996</v>
      </c>
      <c r="H86" s="8"/>
    </row>
    <row r="87" spans="1:8" x14ac:dyDescent="0.35">
      <c r="A87" s="8">
        <v>83</v>
      </c>
      <c r="B87" s="11" t="s">
        <v>7</v>
      </c>
      <c r="C87" s="8">
        <v>0.1</v>
      </c>
      <c r="D87" s="8">
        <v>0.2</v>
      </c>
      <c r="E87" s="8">
        <v>6.5119999999999996</v>
      </c>
      <c r="F87" s="8">
        <v>59.731999999999999</v>
      </c>
      <c r="G87" s="8">
        <v>5.7279999999999998</v>
      </c>
      <c r="H87" s="8"/>
    </row>
    <row r="88" spans="1:8" x14ac:dyDescent="0.35">
      <c r="A88" s="29">
        <v>84</v>
      </c>
      <c r="B88" s="30" t="s">
        <v>7</v>
      </c>
      <c r="C88" s="29">
        <v>0.1</v>
      </c>
      <c r="D88" s="29">
        <v>0.3</v>
      </c>
      <c r="E88" s="29">
        <v>6.3520000000000003</v>
      </c>
      <c r="F88" s="29">
        <v>61.203000000000003</v>
      </c>
      <c r="G88" s="29">
        <v>5.633</v>
      </c>
      <c r="H88" s="29" t="s">
        <v>218</v>
      </c>
    </row>
    <row r="89" spans="1:8" x14ac:dyDescent="0.35">
      <c r="A89" s="8">
        <v>85</v>
      </c>
      <c r="B89" s="11" t="s">
        <v>7</v>
      </c>
      <c r="C89" s="8">
        <v>0.1</v>
      </c>
      <c r="D89" s="8">
        <v>0.4</v>
      </c>
      <c r="E89" s="8">
        <v>7.0869999999999997</v>
      </c>
      <c r="F89" s="8">
        <v>76.167000000000002</v>
      </c>
      <c r="G89" s="8">
        <v>6.3159999999999998</v>
      </c>
      <c r="H89" s="8"/>
    </row>
    <row r="90" spans="1:8" x14ac:dyDescent="0.35">
      <c r="A90" s="8">
        <v>86</v>
      </c>
      <c r="B90" s="11" t="s">
        <v>7</v>
      </c>
      <c r="C90" s="8">
        <v>0.1</v>
      </c>
      <c r="D90" s="8">
        <v>0.5</v>
      </c>
      <c r="E90" s="8">
        <v>9.4909999999999997</v>
      </c>
      <c r="F90" s="8">
        <v>121.063</v>
      </c>
      <c r="G90" s="8">
        <v>8.4570000000000007</v>
      </c>
      <c r="H90" s="8"/>
    </row>
    <row r="91" spans="1:8" x14ac:dyDescent="0.35">
      <c r="A91" s="8">
        <v>87</v>
      </c>
      <c r="B91" s="11" t="s">
        <v>7</v>
      </c>
      <c r="C91" s="8">
        <v>0.1</v>
      </c>
      <c r="D91" s="8">
        <v>0.6</v>
      </c>
      <c r="E91" s="8">
        <v>12.247999999999999</v>
      </c>
      <c r="F91" s="8">
        <v>196.68</v>
      </c>
      <c r="G91" s="8">
        <v>10.898</v>
      </c>
      <c r="H91" s="8"/>
    </row>
    <row r="92" spans="1:8" x14ac:dyDescent="0.35">
      <c r="A92" s="8">
        <v>88</v>
      </c>
      <c r="B92" s="11" t="s">
        <v>7</v>
      </c>
      <c r="C92" s="8">
        <v>0.1</v>
      </c>
      <c r="D92" s="8">
        <v>0.7</v>
      </c>
      <c r="E92" s="8">
        <v>13.565</v>
      </c>
      <c r="F92" s="8">
        <v>256.93400000000003</v>
      </c>
      <c r="G92" s="8">
        <v>12.063000000000001</v>
      </c>
      <c r="H92" s="8"/>
    </row>
    <row r="93" spans="1:8" x14ac:dyDescent="0.35">
      <c r="A93" s="8">
        <v>89</v>
      </c>
      <c r="B93" s="11" t="s">
        <v>7</v>
      </c>
      <c r="C93" s="8">
        <v>0.1</v>
      </c>
      <c r="D93" s="8">
        <v>0.8</v>
      </c>
      <c r="E93" s="8">
        <v>15.077999999999999</v>
      </c>
      <c r="F93" s="8">
        <v>319.12099999999998</v>
      </c>
      <c r="G93" s="8">
        <v>13.407999999999999</v>
      </c>
      <c r="H93" s="8"/>
    </row>
    <row r="94" spans="1:8" x14ac:dyDescent="0.35">
      <c r="A94" s="8">
        <v>90</v>
      </c>
      <c r="B94" s="11" t="s">
        <v>7</v>
      </c>
      <c r="C94" s="8">
        <v>0.1</v>
      </c>
      <c r="D94" s="8">
        <v>0.9</v>
      </c>
      <c r="E94" s="8">
        <v>17.030999999999999</v>
      </c>
      <c r="F94" s="8">
        <v>424.26900000000001</v>
      </c>
      <c r="G94" s="8">
        <v>15.186999999999999</v>
      </c>
      <c r="H94" s="8"/>
    </row>
    <row r="95" spans="1:8" x14ac:dyDescent="0.35">
      <c r="A95" s="8">
        <v>91</v>
      </c>
      <c r="B95" s="11" t="s">
        <v>7</v>
      </c>
      <c r="C95" s="8">
        <v>0.2</v>
      </c>
      <c r="D95" s="8">
        <v>0.1</v>
      </c>
      <c r="E95" s="8">
        <v>6.5220000000000002</v>
      </c>
      <c r="F95" s="8">
        <v>64.366</v>
      </c>
      <c r="G95" s="8">
        <v>5.8550000000000004</v>
      </c>
      <c r="H95" s="8"/>
    </row>
    <row r="96" spans="1:8" x14ac:dyDescent="0.35">
      <c r="A96" s="8">
        <v>92</v>
      </c>
      <c r="B96" s="11" t="s">
        <v>7</v>
      </c>
      <c r="C96" s="8">
        <v>0.2</v>
      </c>
      <c r="D96" s="8">
        <v>0.2</v>
      </c>
      <c r="E96" s="8">
        <v>7.1269999999999998</v>
      </c>
      <c r="F96" s="8">
        <v>76.753</v>
      </c>
      <c r="G96" s="8">
        <v>6.3959999999999999</v>
      </c>
      <c r="H96" s="8"/>
    </row>
    <row r="97" spans="1:8" x14ac:dyDescent="0.35">
      <c r="A97" s="8">
        <v>93</v>
      </c>
      <c r="B97" s="11" t="s">
        <v>7</v>
      </c>
      <c r="C97" s="8">
        <v>0.2</v>
      </c>
      <c r="D97" s="8">
        <v>0.3</v>
      </c>
      <c r="E97" s="8">
        <v>8.5410000000000004</v>
      </c>
      <c r="F97" s="8">
        <v>113.045</v>
      </c>
      <c r="G97" s="8">
        <v>7.65</v>
      </c>
      <c r="H97" s="8"/>
    </row>
    <row r="98" spans="1:8" x14ac:dyDescent="0.35">
      <c r="A98" s="8">
        <v>94</v>
      </c>
      <c r="B98" s="11" t="s">
        <v>7</v>
      </c>
      <c r="C98" s="8">
        <v>0.2</v>
      </c>
      <c r="D98" s="8">
        <v>0.4</v>
      </c>
      <c r="E98" s="8">
        <v>10.481999999999999</v>
      </c>
      <c r="F98" s="8">
        <v>165.381</v>
      </c>
      <c r="G98" s="8">
        <v>9.327</v>
      </c>
      <c r="H98" s="8"/>
    </row>
    <row r="99" spans="1:8" x14ac:dyDescent="0.35">
      <c r="A99" s="8">
        <v>95</v>
      </c>
      <c r="B99" s="11" t="s">
        <v>7</v>
      </c>
      <c r="C99" s="8">
        <v>0.2</v>
      </c>
      <c r="D99" s="8">
        <v>0.5</v>
      </c>
      <c r="E99" s="8">
        <v>12.704000000000001</v>
      </c>
      <c r="F99" s="8">
        <v>219.976</v>
      </c>
      <c r="G99" s="8">
        <v>11.244999999999999</v>
      </c>
      <c r="H99" s="8"/>
    </row>
    <row r="100" spans="1:8" x14ac:dyDescent="0.35">
      <c r="A100" s="8">
        <v>96</v>
      </c>
      <c r="B100" s="11" t="s">
        <v>7</v>
      </c>
      <c r="C100" s="8">
        <v>0.2</v>
      </c>
      <c r="D100" s="8">
        <v>0.6</v>
      </c>
      <c r="E100" s="8">
        <v>14.038</v>
      </c>
      <c r="F100" s="8">
        <v>262.14100000000002</v>
      </c>
      <c r="G100" s="8">
        <v>12.39</v>
      </c>
      <c r="H100" s="8"/>
    </row>
    <row r="101" spans="1:8" x14ac:dyDescent="0.35">
      <c r="A101" s="8">
        <v>97</v>
      </c>
      <c r="B101" s="11" t="s">
        <v>7</v>
      </c>
      <c r="C101" s="8">
        <v>0.2</v>
      </c>
      <c r="D101" s="8">
        <v>0.7</v>
      </c>
      <c r="E101" s="8">
        <v>14.17</v>
      </c>
      <c r="F101" s="8">
        <v>281.30799999999999</v>
      </c>
      <c r="G101" s="8">
        <v>12.49</v>
      </c>
      <c r="H101" s="8"/>
    </row>
    <row r="102" spans="1:8" x14ac:dyDescent="0.35">
      <c r="A102" s="8">
        <v>98</v>
      </c>
      <c r="B102" s="11" t="s">
        <v>7</v>
      </c>
      <c r="C102" s="8">
        <v>0.2</v>
      </c>
      <c r="D102" s="8">
        <v>0.8</v>
      </c>
      <c r="E102" s="8">
        <v>14.301</v>
      </c>
      <c r="F102" s="8">
        <v>279.98399999999998</v>
      </c>
      <c r="G102" s="8">
        <v>12.603999999999999</v>
      </c>
      <c r="H102" s="8"/>
    </row>
    <row r="103" spans="1:8" x14ac:dyDescent="0.35">
      <c r="A103" s="8">
        <v>99</v>
      </c>
      <c r="B103" s="11" t="s">
        <v>7</v>
      </c>
      <c r="C103" s="8">
        <v>0.2</v>
      </c>
      <c r="D103" s="8">
        <v>0.9</v>
      </c>
      <c r="E103" s="8">
        <v>13.46</v>
      </c>
      <c r="F103" s="8">
        <v>267.43</v>
      </c>
      <c r="G103" s="8">
        <v>11.865</v>
      </c>
      <c r="H103" s="8"/>
    </row>
    <row r="104" spans="1:8" x14ac:dyDescent="0.35">
      <c r="A104" s="8">
        <v>100</v>
      </c>
      <c r="B104" s="11" t="s">
        <v>7</v>
      </c>
      <c r="C104" s="8">
        <v>0.3</v>
      </c>
      <c r="D104" s="8">
        <v>0.1</v>
      </c>
      <c r="E104" s="8">
        <v>6.556</v>
      </c>
      <c r="F104" s="8">
        <v>67.995000000000005</v>
      </c>
      <c r="G104" s="8">
        <v>5.8780000000000001</v>
      </c>
      <c r="H104" s="8"/>
    </row>
    <row r="105" spans="1:8" x14ac:dyDescent="0.35">
      <c r="A105" s="8">
        <v>101</v>
      </c>
      <c r="B105" s="11" t="s">
        <v>7</v>
      </c>
      <c r="C105" s="8">
        <v>0.3</v>
      </c>
      <c r="D105" s="8">
        <v>0.2</v>
      </c>
      <c r="E105" s="8">
        <v>7.6589999999999998</v>
      </c>
      <c r="F105" s="8">
        <v>87.775999999999996</v>
      </c>
      <c r="G105" s="8">
        <v>6.8310000000000004</v>
      </c>
      <c r="H105" s="8"/>
    </row>
    <row r="106" spans="1:8" x14ac:dyDescent="0.35">
      <c r="A106" s="8">
        <v>102</v>
      </c>
      <c r="B106" s="11" t="s">
        <v>7</v>
      </c>
      <c r="C106" s="8">
        <v>0.3</v>
      </c>
      <c r="D106" s="8">
        <v>0.3</v>
      </c>
      <c r="E106" s="8">
        <v>9.1910000000000007</v>
      </c>
      <c r="F106" s="8">
        <v>116.65600000000001</v>
      </c>
      <c r="G106" s="8">
        <v>8.1519999999999992</v>
      </c>
      <c r="H106" s="8"/>
    </row>
    <row r="107" spans="1:8" x14ac:dyDescent="0.35">
      <c r="A107" s="8">
        <v>103</v>
      </c>
      <c r="B107" s="11" t="s">
        <v>7</v>
      </c>
      <c r="C107" s="8">
        <v>0.3</v>
      </c>
      <c r="D107" s="8">
        <v>0.4</v>
      </c>
      <c r="E107" s="8">
        <v>10.044</v>
      </c>
      <c r="F107" s="8">
        <v>139.50200000000001</v>
      </c>
      <c r="G107" s="8">
        <v>8.8729999999999993</v>
      </c>
      <c r="H107" s="8"/>
    </row>
    <row r="108" spans="1:8" x14ac:dyDescent="0.35">
      <c r="A108" s="8">
        <v>104</v>
      </c>
      <c r="B108" s="11" t="s">
        <v>7</v>
      </c>
      <c r="C108" s="8">
        <v>0.3</v>
      </c>
      <c r="D108" s="8">
        <v>0.5</v>
      </c>
      <c r="E108" s="8">
        <v>10.387</v>
      </c>
      <c r="F108" s="8">
        <v>147.886</v>
      </c>
      <c r="G108" s="8">
        <v>9.1760000000000002</v>
      </c>
      <c r="H108" s="8"/>
    </row>
    <row r="109" spans="1:8" x14ac:dyDescent="0.35">
      <c r="A109" s="8">
        <v>105</v>
      </c>
      <c r="B109" s="11" t="s">
        <v>7</v>
      </c>
      <c r="C109" s="8">
        <v>0.3</v>
      </c>
      <c r="D109" s="8">
        <v>0.6</v>
      </c>
      <c r="E109" s="8">
        <v>9.8379999999999992</v>
      </c>
      <c r="F109" s="8">
        <v>144.19499999999999</v>
      </c>
      <c r="G109" s="8">
        <v>8.6959999999999997</v>
      </c>
      <c r="H109" s="8"/>
    </row>
    <row r="110" spans="1:8" x14ac:dyDescent="0.35">
      <c r="A110" s="8">
        <v>106</v>
      </c>
      <c r="B110" s="11" t="s">
        <v>7</v>
      </c>
      <c r="C110" s="8">
        <v>0.3</v>
      </c>
      <c r="D110" s="8">
        <v>0.7</v>
      </c>
      <c r="E110" s="8">
        <v>9.2029999999999994</v>
      </c>
      <c r="F110" s="8">
        <v>134.81800000000001</v>
      </c>
      <c r="G110" s="8">
        <v>8.1359999999999992</v>
      </c>
      <c r="H110" s="8"/>
    </row>
    <row r="111" spans="1:8" x14ac:dyDescent="0.35">
      <c r="A111" s="8">
        <v>107</v>
      </c>
      <c r="B111" s="11" t="s">
        <v>7</v>
      </c>
      <c r="C111" s="8">
        <v>0.3</v>
      </c>
      <c r="D111" s="8">
        <v>0.8</v>
      </c>
      <c r="E111" s="8">
        <v>9.0540000000000003</v>
      </c>
      <c r="F111" s="8">
        <v>124.096</v>
      </c>
      <c r="G111" s="8">
        <v>8.0269999999999992</v>
      </c>
      <c r="H111" s="8"/>
    </row>
    <row r="112" spans="1:8" x14ac:dyDescent="0.35">
      <c r="A112" s="8">
        <v>108</v>
      </c>
      <c r="B112" s="11" t="s">
        <v>7</v>
      </c>
      <c r="C112" s="8">
        <v>0.3</v>
      </c>
      <c r="D112" s="8">
        <v>0.9</v>
      </c>
      <c r="E112" s="8">
        <v>8.9459999999999997</v>
      </c>
      <c r="F112" s="8">
        <v>113.824</v>
      </c>
      <c r="G112" s="8">
        <v>7.9429999999999996</v>
      </c>
      <c r="H112" s="8"/>
    </row>
    <row r="113" spans="1:8" x14ac:dyDescent="0.35">
      <c r="A113" s="8">
        <v>109</v>
      </c>
      <c r="B113" s="11" t="s">
        <v>7</v>
      </c>
      <c r="C113" s="8">
        <v>0.4</v>
      </c>
      <c r="D113" s="8">
        <v>0.1</v>
      </c>
      <c r="E113" s="8">
        <v>6.6349999999999998</v>
      </c>
      <c r="F113" s="8">
        <v>67.376999999999995</v>
      </c>
      <c r="G113" s="8">
        <v>5.9260000000000002</v>
      </c>
      <c r="H113" s="8"/>
    </row>
    <row r="114" spans="1:8" x14ac:dyDescent="0.35">
      <c r="A114" s="8">
        <v>110</v>
      </c>
      <c r="B114" s="11" t="s">
        <v>7</v>
      </c>
      <c r="C114" s="8">
        <v>0.4</v>
      </c>
      <c r="D114" s="8">
        <v>0.2</v>
      </c>
      <c r="E114" s="8">
        <v>7.4859999999999998</v>
      </c>
      <c r="F114" s="8">
        <v>82.183999999999997</v>
      </c>
      <c r="G114" s="8">
        <v>6.6529999999999996</v>
      </c>
      <c r="H114" s="8"/>
    </row>
    <row r="115" spans="1:8" x14ac:dyDescent="0.35">
      <c r="A115" s="8">
        <v>111</v>
      </c>
      <c r="B115" s="11" t="s">
        <v>7</v>
      </c>
      <c r="C115" s="8">
        <v>0.4</v>
      </c>
      <c r="D115" s="8">
        <v>0.3</v>
      </c>
      <c r="E115" s="8">
        <v>8.17</v>
      </c>
      <c r="F115" s="8">
        <v>95.262</v>
      </c>
      <c r="G115" s="8">
        <v>7.242</v>
      </c>
      <c r="H115" s="8"/>
    </row>
    <row r="116" spans="1:8" x14ac:dyDescent="0.35">
      <c r="A116" s="8">
        <v>112</v>
      </c>
      <c r="B116" s="11" t="s">
        <v>7</v>
      </c>
      <c r="C116" s="8">
        <v>0.4</v>
      </c>
      <c r="D116" s="8">
        <v>0.4</v>
      </c>
      <c r="E116" s="8">
        <v>8.3369999999999997</v>
      </c>
      <c r="F116" s="8">
        <v>99.284000000000006</v>
      </c>
      <c r="G116" s="8">
        <v>7.3879999999999999</v>
      </c>
      <c r="H116" s="8"/>
    </row>
    <row r="117" spans="1:8" x14ac:dyDescent="0.35">
      <c r="A117" s="8">
        <v>113</v>
      </c>
      <c r="B117" s="11" t="s">
        <v>7</v>
      </c>
      <c r="C117" s="8">
        <v>0.4</v>
      </c>
      <c r="D117" s="8">
        <v>0.5</v>
      </c>
      <c r="E117" s="8">
        <v>8.0109999999999992</v>
      </c>
      <c r="F117" s="8">
        <v>95.897999999999996</v>
      </c>
      <c r="G117" s="8">
        <v>7.1029999999999998</v>
      </c>
      <c r="H117" s="8"/>
    </row>
    <row r="118" spans="1:8" x14ac:dyDescent="0.35">
      <c r="A118" s="8">
        <v>114</v>
      </c>
      <c r="B118" s="11" t="s">
        <v>7</v>
      </c>
      <c r="C118" s="8">
        <v>0.4</v>
      </c>
      <c r="D118" s="8">
        <v>0.6</v>
      </c>
      <c r="E118" s="8">
        <v>7.7889999999999997</v>
      </c>
      <c r="F118" s="8">
        <v>89.557000000000002</v>
      </c>
      <c r="G118" s="8">
        <v>6.907</v>
      </c>
      <c r="H118" s="8"/>
    </row>
    <row r="119" spans="1:8" x14ac:dyDescent="0.35">
      <c r="A119" s="8">
        <v>115</v>
      </c>
      <c r="B119" s="11" t="s">
        <v>7</v>
      </c>
      <c r="C119" s="8">
        <v>0.4</v>
      </c>
      <c r="D119" s="8">
        <v>0.7</v>
      </c>
      <c r="E119" s="8">
        <v>7.7160000000000002</v>
      </c>
      <c r="F119" s="8">
        <v>83.012</v>
      </c>
      <c r="G119" s="8">
        <v>6.8520000000000003</v>
      </c>
      <c r="H119" s="8"/>
    </row>
    <row r="120" spans="1:8" x14ac:dyDescent="0.35">
      <c r="A120" s="8">
        <v>116</v>
      </c>
      <c r="B120" s="11" t="s">
        <v>7</v>
      </c>
      <c r="C120" s="8">
        <v>0.4</v>
      </c>
      <c r="D120" s="8">
        <v>0.8</v>
      </c>
      <c r="E120" s="8">
        <v>7.4850000000000003</v>
      </c>
      <c r="F120" s="8">
        <v>77.307000000000002</v>
      </c>
      <c r="G120" s="8">
        <v>6.6589999999999998</v>
      </c>
      <c r="H120" s="8"/>
    </row>
    <row r="121" spans="1:8" x14ac:dyDescent="0.35">
      <c r="A121" s="8">
        <v>117</v>
      </c>
      <c r="B121" s="11" t="s">
        <v>7</v>
      </c>
      <c r="C121" s="8">
        <v>0.4</v>
      </c>
      <c r="D121" s="8">
        <v>0.9</v>
      </c>
      <c r="E121" s="8">
        <v>7.2119999999999997</v>
      </c>
      <c r="F121" s="8">
        <v>72.799000000000007</v>
      </c>
      <c r="G121" s="8">
        <v>6.4290000000000003</v>
      </c>
      <c r="H121" s="8"/>
    </row>
    <row r="122" spans="1:8" x14ac:dyDescent="0.35">
      <c r="A122" s="8">
        <v>118</v>
      </c>
      <c r="B122" s="11" t="s">
        <v>7</v>
      </c>
      <c r="C122" s="8">
        <v>0.5</v>
      </c>
      <c r="D122" s="8">
        <v>0.1</v>
      </c>
      <c r="E122" s="8">
        <v>6.4909999999999997</v>
      </c>
      <c r="F122" s="8">
        <v>65.141000000000005</v>
      </c>
      <c r="G122" s="8">
        <v>5.7939999999999996</v>
      </c>
      <c r="H122" s="8"/>
    </row>
    <row r="123" spans="1:8" x14ac:dyDescent="0.35">
      <c r="A123" s="8">
        <v>119</v>
      </c>
      <c r="B123" s="11" t="s">
        <v>7</v>
      </c>
      <c r="C123" s="8">
        <v>0.5</v>
      </c>
      <c r="D123" s="8">
        <v>0.2</v>
      </c>
      <c r="E123" s="8">
        <v>7.05</v>
      </c>
      <c r="F123" s="8">
        <v>74.221999999999994</v>
      </c>
      <c r="G123" s="8">
        <v>6.2720000000000002</v>
      </c>
      <c r="H123" s="8"/>
    </row>
    <row r="124" spans="1:8" x14ac:dyDescent="0.35">
      <c r="A124" s="8">
        <v>120</v>
      </c>
      <c r="B124" s="11" t="s">
        <v>7</v>
      </c>
      <c r="C124" s="8">
        <v>0.5</v>
      </c>
      <c r="D124" s="8">
        <v>0.3</v>
      </c>
      <c r="E124" s="8">
        <v>7.3559999999999999</v>
      </c>
      <c r="F124" s="8">
        <v>79.093000000000004</v>
      </c>
      <c r="G124" s="8">
        <v>6.5380000000000003</v>
      </c>
      <c r="H124" s="8"/>
    </row>
    <row r="125" spans="1:8" x14ac:dyDescent="0.35">
      <c r="A125" s="8">
        <v>121</v>
      </c>
      <c r="B125" s="11" t="s">
        <v>7</v>
      </c>
      <c r="C125" s="8">
        <v>0.5</v>
      </c>
      <c r="D125" s="8">
        <v>0.4</v>
      </c>
      <c r="E125" s="8">
        <v>7.327</v>
      </c>
      <c r="F125" s="8">
        <v>78.311000000000007</v>
      </c>
      <c r="G125" s="8">
        <v>6.516</v>
      </c>
      <c r="H125" s="8"/>
    </row>
    <row r="126" spans="1:8" x14ac:dyDescent="0.35">
      <c r="A126" s="8">
        <v>122</v>
      </c>
      <c r="B126" s="11" t="s">
        <v>7</v>
      </c>
      <c r="C126" s="8">
        <v>0.5</v>
      </c>
      <c r="D126" s="8">
        <v>0.5</v>
      </c>
      <c r="E126" s="8">
        <v>7.2779999999999996</v>
      </c>
      <c r="F126" s="8">
        <v>74.909000000000006</v>
      </c>
      <c r="G126" s="8">
        <v>6.4790000000000001</v>
      </c>
      <c r="H126" s="8"/>
    </row>
    <row r="127" spans="1:8" x14ac:dyDescent="0.35">
      <c r="A127" s="8">
        <v>123</v>
      </c>
      <c r="B127" s="11" t="s">
        <v>7</v>
      </c>
      <c r="C127" s="8">
        <v>0.5</v>
      </c>
      <c r="D127" s="8">
        <v>0.6</v>
      </c>
      <c r="E127" s="8">
        <v>7.2</v>
      </c>
      <c r="F127" s="8">
        <v>71.421000000000006</v>
      </c>
      <c r="G127" s="8">
        <v>6.4210000000000003</v>
      </c>
      <c r="H127" s="8"/>
    </row>
    <row r="128" spans="1:8" x14ac:dyDescent="0.35">
      <c r="A128" s="8">
        <v>124</v>
      </c>
      <c r="B128" s="11" t="s">
        <v>7</v>
      </c>
      <c r="C128" s="8">
        <v>0.5</v>
      </c>
      <c r="D128" s="8">
        <v>0.7</v>
      </c>
      <c r="E128" s="8">
        <v>7.008</v>
      </c>
      <c r="F128" s="8">
        <v>68.927000000000007</v>
      </c>
      <c r="G128" s="8">
        <v>6.2629999999999999</v>
      </c>
      <c r="H128" s="8"/>
    </row>
    <row r="129" spans="1:8" x14ac:dyDescent="0.35">
      <c r="A129" s="8">
        <v>125</v>
      </c>
      <c r="B129" s="11" t="s">
        <v>7</v>
      </c>
      <c r="C129" s="8">
        <v>0.5</v>
      </c>
      <c r="D129" s="8">
        <v>0.8</v>
      </c>
      <c r="E129" s="8">
        <v>6.8540000000000001</v>
      </c>
      <c r="F129" s="8">
        <v>67.731999999999999</v>
      </c>
      <c r="G129" s="8">
        <v>6.133</v>
      </c>
      <c r="H129" s="8"/>
    </row>
    <row r="130" spans="1:8" x14ac:dyDescent="0.35">
      <c r="A130" s="8">
        <v>126</v>
      </c>
      <c r="B130" s="11" t="s">
        <v>7</v>
      </c>
      <c r="C130" s="8">
        <v>0.5</v>
      </c>
      <c r="D130" s="8">
        <v>0.9</v>
      </c>
      <c r="E130" s="8">
        <v>6.8150000000000004</v>
      </c>
      <c r="F130" s="8">
        <v>67.807000000000002</v>
      </c>
      <c r="G130" s="8">
        <v>6.0970000000000004</v>
      </c>
      <c r="H130" s="8"/>
    </row>
    <row r="131" spans="1:8" x14ac:dyDescent="0.35">
      <c r="A131" s="8">
        <v>127</v>
      </c>
      <c r="B131" s="11" t="s">
        <v>7</v>
      </c>
      <c r="C131" s="8">
        <v>0.6</v>
      </c>
      <c r="D131" s="8">
        <v>0.1</v>
      </c>
      <c r="E131" s="8">
        <v>6.468</v>
      </c>
      <c r="F131" s="8">
        <v>63.765000000000001</v>
      </c>
      <c r="G131" s="8">
        <v>5.782</v>
      </c>
      <c r="H131" s="8"/>
    </row>
    <row r="132" spans="1:8" x14ac:dyDescent="0.35">
      <c r="A132" s="8">
        <v>128</v>
      </c>
      <c r="B132" s="11" t="s">
        <v>7</v>
      </c>
      <c r="C132" s="8">
        <v>0.6</v>
      </c>
      <c r="D132" s="8">
        <v>0.2</v>
      </c>
      <c r="E132" s="8">
        <v>6.859</v>
      </c>
      <c r="F132" s="8">
        <v>69.433999999999997</v>
      </c>
      <c r="G132" s="8">
        <v>6.1219999999999999</v>
      </c>
      <c r="H132" s="8"/>
    </row>
    <row r="133" spans="1:8" x14ac:dyDescent="0.35">
      <c r="A133" s="8">
        <v>129</v>
      </c>
      <c r="B133" s="11" t="s">
        <v>7</v>
      </c>
      <c r="C133" s="8">
        <v>0.6</v>
      </c>
      <c r="D133" s="8">
        <v>0.3</v>
      </c>
      <c r="E133" s="8">
        <v>7.0730000000000004</v>
      </c>
      <c r="F133" s="8">
        <v>71.5</v>
      </c>
      <c r="G133" s="8">
        <v>6.3109999999999999</v>
      </c>
      <c r="H133" s="8"/>
    </row>
    <row r="134" spans="1:8" x14ac:dyDescent="0.35">
      <c r="A134" s="8">
        <v>130</v>
      </c>
      <c r="B134" s="11" t="s">
        <v>7</v>
      </c>
      <c r="C134" s="8">
        <v>0.6</v>
      </c>
      <c r="D134" s="8">
        <v>0.4</v>
      </c>
      <c r="E134" s="8">
        <v>7.09</v>
      </c>
      <c r="F134" s="8">
        <v>70.709999999999994</v>
      </c>
      <c r="G134" s="8">
        <v>6.33</v>
      </c>
      <c r="H134" s="8"/>
    </row>
    <row r="135" spans="1:8" x14ac:dyDescent="0.35">
      <c r="A135" s="8">
        <v>131</v>
      </c>
      <c r="B135" s="11" t="s">
        <v>7</v>
      </c>
      <c r="C135" s="8">
        <v>0.6</v>
      </c>
      <c r="D135" s="8">
        <v>0.5</v>
      </c>
      <c r="E135" s="8">
        <v>6.9740000000000002</v>
      </c>
      <c r="F135" s="8">
        <v>69.424999999999997</v>
      </c>
      <c r="G135" s="8">
        <v>6.2359999999999998</v>
      </c>
      <c r="H135" s="8"/>
    </row>
    <row r="136" spans="1:8" x14ac:dyDescent="0.35">
      <c r="A136" s="8">
        <v>132</v>
      </c>
      <c r="B136" s="11" t="s">
        <v>7</v>
      </c>
      <c r="C136" s="8">
        <v>0.6</v>
      </c>
      <c r="D136" s="8">
        <v>0.6</v>
      </c>
      <c r="E136" s="8">
        <v>6.8559999999999999</v>
      </c>
      <c r="F136" s="8">
        <v>68.956000000000003</v>
      </c>
      <c r="G136" s="8">
        <v>6.1440000000000001</v>
      </c>
      <c r="H136" s="8"/>
    </row>
    <row r="137" spans="1:8" x14ac:dyDescent="0.35">
      <c r="A137" s="8">
        <v>133</v>
      </c>
      <c r="B137" s="11" t="s">
        <v>7</v>
      </c>
      <c r="C137" s="8">
        <v>0.6</v>
      </c>
      <c r="D137" s="8">
        <v>0.7</v>
      </c>
      <c r="E137" s="8">
        <v>6.8440000000000003</v>
      </c>
      <c r="F137" s="8">
        <v>69.665000000000006</v>
      </c>
      <c r="G137" s="8">
        <v>6.1349999999999998</v>
      </c>
      <c r="H137" s="8"/>
    </row>
    <row r="138" spans="1:8" x14ac:dyDescent="0.35">
      <c r="A138" s="8">
        <v>134</v>
      </c>
      <c r="B138" s="11" t="s">
        <v>7</v>
      </c>
      <c r="C138" s="8">
        <v>0.6</v>
      </c>
      <c r="D138" s="8">
        <v>0.8</v>
      </c>
      <c r="E138" s="8">
        <v>6.8570000000000002</v>
      </c>
      <c r="F138" s="8">
        <v>71.491</v>
      </c>
      <c r="G138" s="8">
        <v>6.1470000000000002</v>
      </c>
      <c r="H138" s="8"/>
    </row>
    <row r="139" spans="1:8" x14ac:dyDescent="0.35">
      <c r="A139" s="8">
        <v>135</v>
      </c>
      <c r="B139" s="11" t="s">
        <v>7</v>
      </c>
      <c r="C139" s="8">
        <v>0.6</v>
      </c>
      <c r="D139" s="8">
        <v>0.9</v>
      </c>
      <c r="E139" s="8">
        <v>6.97</v>
      </c>
      <c r="F139" s="8">
        <v>74.242999999999995</v>
      </c>
      <c r="G139" s="8">
        <v>6.2480000000000002</v>
      </c>
      <c r="H139" s="8"/>
    </row>
    <row r="140" spans="1:8" x14ac:dyDescent="0.35">
      <c r="A140" s="8">
        <v>136</v>
      </c>
      <c r="B140" s="11" t="s">
        <v>7</v>
      </c>
      <c r="C140" s="8">
        <v>0.7</v>
      </c>
      <c r="D140" s="8">
        <v>0.1</v>
      </c>
      <c r="E140" s="8">
        <v>6.556</v>
      </c>
      <c r="F140" s="8">
        <v>64.129000000000005</v>
      </c>
      <c r="G140" s="8">
        <v>5.87</v>
      </c>
      <c r="H140" s="8"/>
    </row>
    <row r="141" spans="1:8" x14ac:dyDescent="0.35">
      <c r="A141" s="8">
        <v>137</v>
      </c>
      <c r="B141" s="11" t="s">
        <v>7</v>
      </c>
      <c r="C141" s="8">
        <v>0.7</v>
      </c>
      <c r="D141" s="8">
        <v>0.2</v>
      </c>
      <c r="E141" s="8">
        <v>6.8659999999999997</v>
      </c>
      <c r="F141" s="8">
        <v>68.367999999999995</v>
      </c>
      <c r="G141" s="8">
        <v>6.1420000000000003</v>
      </c>
      <c r="H141" s="8"/>
    </row>
    <row r="142" spans="1:8" x14ac:dyDescent="0.35">
      <c r="A142" s="8">
        <v>138</v>
      </c>
      <c r="B142" s="11" t="s">
        <v>7</v>
      </c>
      <c r="C142" s="8">
        <v>0.7</v>
      </c>
      <c r="D142" s="8">
        <v>0.3</v>
      </c>
      <c r="E142" s="8">
        <v>7.0220000000000002</v>
      </c>
      <c r="F142" s="8">
        <v>70.158000000000001</v>
      </c>
      <c r="G142" s="8">
        <v>6.282</v>
      </c>
      <c r="H142" s="8"/>
    </row>
    <row r="143" spans="1:8" x14ac:dyDescent="0.35">
      <c r="A143" s="8">
        <v>139</v>
      </c>
      <c r="B143" s="11" t="s">
        <v>7</v>
      </c>
      <c r="C143" s="8">
        <v>0.7</v>
      </c>
      <c r="D143" s="8">
        <v>0.4</v>
      </c>
      <c r="E143" s="8">
        <v>7.0380000000000003</v>
      </c>
      <c r="F143" s="8">
        <v>70.783000000000001</v>
      </c>
      <c r="G143" s="8">
        <v>6.3040000000000003</v>
      </c>
      <c r="H143" s="8"/>
    </row>
    <row r="144" spans="1:8" x14ac:dyDescent="0.35">
      <c r="A144" s="8">
        <v>140</v>
      </c>
      <c r="B144" s="11" t="s">
        <v>7</v>
      </c>
      <c r="C144" s="8">
        <v>0.7</v>
      </c>
      <c r="D144" s="8">
        <v>0.5</v>
      </c>
      <c r="E144" s="8">
        <v>6.9960000000000004</v>
      </c>
      <c r="F144" s="8">
        <v>71.838999999999999</v>
      </c>
      <c r="G144" s="8">
        <v>6.2759999999999998</v>
      </c>
      <c r="H144" s="8"/>
    </row>
    <row r="145" spans="1:8" x14ac:dyDescent="0.35">
      <c r="A145" s="8">
        <v>141</v>
      </c>
      <c r="B145" s="11" t="s">
        <v>7</v>
      </c>
      <c r="C145" s="8">
        <v>0.7</v>
      </c>
      <c r="D145" s="8">
        <v>0.6</v>
      </c>
      <c r="E145" s="8">
        <v>7.1</v>
      </c>
      <c r="F145" s="8">
        <v>73.971999999999994</v>
      </c>
      <c r="G145" s="8">
        <v>6.3689999999999998</v>
      </c>
      <c r="H145" s="8"/>
    </row>
    <row r="146" spans="1:8" x14ac:dyDescent="0.35">
      <c r="A146" s="8">
        <v>142</v>
      </c>
      <c r="B146" s="11" t="s">
        <v>7</v>
      </c>
      <c r="C146" s="8">
        <v>0.7</v>
      </c>
      <c r="D146" s="8">
        <v>0.7</v>
      </c>
      <c r="E146" s="8">
        <v>7.2430000000000003</v>
      </c>
      <c r="F146" s="8">
        <v>77.245999999999995</v>
      </c>
      <c r="G146" s="8">
        <v>6.4960000000000004</v>
      </c>
      <c r="H146" s="8"/>
    </row>
    <row r="147" spans="1:8" x14ac:dyDescent="0.35">
      <c r="A147" s="8">
        <v>143</v>
      </c>
      <c r="B147" s="11" t="s">
        <v>7</v>
      </c>
      <c r="C147" s="8">
        <v>0.7</v>
      </c>
      <c r="D147" s="8">
        <v>0.8</v>
      </c>
      <c r="E147" s="8">
        <v>7.4089999999999998</v>
      </c>
      <c r="F147" s="8">
        <v>81.543999999999997</v>
      </c>
      <c r="G147" s="8">
        <v>6.6449999999999996</v>
      </c>
      <c r="H147" s="8"/>
    </row>
    <row r="148" spans="1:8" x14ac:dyDescent="0.35">
      <c r="A148" s="8">
        <v>144</v>
      </c>
      <c r="B148" s="11" t="s">
        <v>7</v>
      </c>
      <c r="C148" s="8">
        <v>0.7</v>
      </c>
      <c r="D148" s="8">
        <v>0.9</v>
      </c>
      <c r="E148" s="8">
        <v>7.6609999999999996</v>
      </c>
      <c r="F148" s="8">
        <v>86.742999999999995</v>
      </c>
      <c r="G148" s="8">
        <v>6.8650000000000002</v>
      </c>
      <c r="H148" s="8"/>
    </row>
    <row r="149" spans="1:8" x14ac:dyDescent="0.35">
      <c r="A149" s="8">
        <v>145</v>
      </c>
      <c r="B149" s="11" t="s">
        <v>7</v>
      </c>
      <c r="C149" s="8">
        <v>0.8</v>
      </c>
      <c r="D149" s="8">
        <v>0.1</v>
      </c>
      <c r="E149" s="8">
        <v>6.7869999999999999</v>
      </c>
      <c r="F149" s="8">
        <v>66.334999999999994</v>
      </c>
      <c r="G149" s="8">
        <v>6.0819999999999999</v>
      </c>
      <c r="H149" s="8"/>
    </row>
    <row r="150" spans="1:8" x14ac:dyDescent="0.35">
      <c r="A150" s="8">
        <v>146</v>
      </c>
      <c r="B150" s="11" t="s">
        <v>7</v>
      </c>
      <c r="C150" s="8">
        <v>0.8</v>
      </c>
      <c r="D150" s="8">
        <v>0.2</v>
      </c>
      <c r="E150" s="8">
        <v>7.0679999999999996</v>
      </c>
      <c r="F150" s="8">
        <v>70.427000000000007</v>
      </c>
      <c r="G150" s="8">
        <v>6.33</v>
      </c>
      <c r="H150" s="8"/>
    </row>
    <row r="151" spans="1:8" x14ac:dyDescent="0.35">
      <c r="A151" s="8">
        <v>147</v>
      </c>
      <c r="B151" s="11" t="s">
        <v>7</v>
      </c>
      <c r="C151" s="8">
        <v>0.8</v>
      </c>
      <c r="D151" s="8">
        <v>0.3</v>
      </c>
      <c r="E151" s="8">
        <v>7.2190000000000003</v>
      </c>
      <c r="F151" s="8">
        <v>73.103999999999999</v>
      </c>
      <c r="G151" s="8">
        <v>6.468</v>
      </c>
      <c r="H151" s="8"/>
    </row>
    <row r="152" spans="1:8" x14ac:dyDescent="0.35">
      <c r="A152" s="8">
        <v>148</v>
      </c>
      <c r="B152" s="11" t="s">
        <v>7</v>
      </c>
      <c r="C152" s="8">
        <v>0.8</v>
      </c>
      <c r="D152" s="8">
        <v>0.4</v>
      </c>
      <c r="E152" s="8">
        <v>7.28</v>
      </c>
      <c r="F152" s="8">
        <v>75.628</v>
      </c>
      <c r="G152" s="8">
        <v>6.53</v>
      </c>
      <c r="H152" s="8"/>
    </row>
    <row r="153" spans="1:8" x14ac:dyDescent="0.35">
      <c r="A153" s="8">
        <v>149</v>
      </c>
      <c r="B153" s="11" t="s">
        <v>7</v>
      </c>
      <c r="C153" s="8">
        <v>0.8</v>
      </c>
      <c r="D153" s="8">
        <v>0.5</v>
      </c>
      <c r="E153" s="8">
        <v>7.4050000000000002</v>
      </c>
      <c r="F153" s="8">
        <v>79.058999999999997</v>
      </c>
      <c r="G153" s="8">
        <v>6.6429999999999998</v>
      </c>
      <c r="H153" s="8"/>
    </row>
    <row r="154" spans="1:8" x14ac:dyDescent="0.35">
      <c r="A154" s="8">
        <v>150</v>
      </c>
      <c r="B154" s="11" t="s">
        <v>7</v>
      </c>
      <c r="C154" s="8">
        <v>0.8</v>
      </c>
      <c r="D154" s="8">
        <v>0.6</v>
      </c>
      <c r="E154" s="8">
        <v>7.5940000000000003</v>
      </c>
      <c r="F154" s="8">
        <v>83.73</v>
      </c>
      <c r="G154" s="8">
        <v>6.8120000000000003</v>
      </c>
      <c r="H154" s="8"/>
    </row>
    <row r="155" spans="1:8" x14ac:dyDescent="0.35">
      <c r="A155" s="8">
        <v>151</v>
      </c>
      <c r="B155" s="11" t="s">
        <v>7</v>
      </c>
      <c r="C155" s="8">
        <v>0.8</v>
      </c>
      <c r="D155" s="8">
        <v>0.7</v>
      </c>
      <c r="E155" s="8">
        <v>7.8449999999999998</v>
      </c>
      <c r="F155" s="8">
        <v>89.644000000000005</v>
      </c>
      <c r="G155" s="8">
        <v>7.0330000000000004</v>
      </c>
      <c r="H155" s="8"/>
    </row>
    <row r="156" spans="1:8" x14ac:dyDescent="0.35">
      <c r="A156" s="8">
        <v>152</v>
      </c>
      <c r="B156" s="11" t="s">
        <v>7</v>
      </c>
      <c r="C156" s="8">
        <v>0.8</v>
      </c>
      <c r="D156" s="8">
        <v>0.8</v>
      </c>
      <c r="E156" s="8">
        <v>8.2100000000000009</v>
      </c>
      <c r="F156" s="8">
        <v>96.748000000000005</v>
      </c>
      <c r="G156" s="8">
        <v>7.3470000000000004</v>
      </c>
      <c r="H156" s="8"/>
    </row>
    <row r="157" spans="1:8" x14ac:dyDescent="0.35">
      <c r="A157" s="8">
        <v>153</v>
      </c>
      <c r="B157" s="11" t="s">
        <v>7</v>
      </c>
      <c r="C157" s="8">
        <v>0.8</v>
      </c>
      <c r="D157" s="8">
        <v>0.9</v>
      </c>
      <c r="E157" s="8">
        <v>8.5860000000000003</v>
      </c>
      <c r="F157" s="8">
        <v>105.02800000000001</v>
      </c>
      <c r="G157" s="8">
        <v>7.673</v>
      </c>
      <c r="H157" s="8"/>
    </row>
    <row r="158" spans="1:8" x14ac:dyDescent="0.35">
      <c r="A158" s="8">
        <v>154</v>
      </c>
      <c r="B158" s="11" t="s">
        <v>7</v>
      </c>
      <c r="C158" s="8">
        <v>0.9</v>
      </c>
      <c r="D158" s="8">
        <v>0.1</v>
      </c>
      <c r="E158" s="8">
        <v>7.0469999999999997</v>
      </c>
      <c r="F158" s="8">
        <v>70.230999999999995</v>
      </c>
      <c r="G158" s="8">
        <v>6.3170000000000002</v>
      </c>
      <c r="H158" s="8"/>
    </row>
    <row r="159" spans="1:8" x14ac:dyDescent="0.35">
      <c r="A159" s="8">
        <v>155</v>
      </c>
      <c r="B159" s="11" t="s">
        <v>7</v>
      </c>
      <c r="C159" s="8">
        <v>0.9</v>
      </c>
      <c r="D159" s="8">
        <v>0.2</v>
      </c>
      <c r="E159" s="8">
        <v>7.3289999999999997</v>
      </c>
      <c r="F159" s="8">
        <v>74.995999999999995</v>
      </c>
      <c r="G159" s="8">
        <v>6.5670000000000002</v>
      </c>
      <c r="H159" s="8"/>
    </row>
    <row r="160" spans="1:8" x14ac:dyDescent="0.35">
      <c r="A160" s="8">
        <v>156</v>
      </c>
      <c r="B160" s="11" t="s">
        <v>7</v>
      </c>
      <c r="C160" s="8">
        <v>0.9</v>
      </c>
      <c r="D160" s="8">
        <v>0.3</v>
      </c>
      <c r="E160" s="8">
        <v>7.508</v>
      </c>
      <c r="F160" s="8">
        <v>79.185000000000002</v>
      </c>
      <c r="G160" s="8">
        <v>6.7309999999999999</v>
      </c>
      <c r="H160" s="8"/>
    </row>
    <row r="161" spans="1:8" x14ac:dyDescent="0.35">
      <c r="A161" s="8">
        <v>157</v>
      </c>
      <c r="B161" s="11" t="s">
        <v>7</v>
      </c>
      <c r="C161" s="8">
        <v>0.9</v>
      </c>
      <c r="D161" s="8">
        <v>0.4</v>
      </c>
      <c r="E161" s="8">
        <v>7.64</v>
      </c>
      <c r="F161" s="8">
        <v>83.902000000000001</v>
      </c>
      <c r="G161" s="8">
        <v>6.8540000000000001</v>
      </c>
      <c r="H161" s="8"/>
    </row>
    <row r="162" spans="1:8" x14ac:dyDescent="0.35">
      <c r="A162" s="8">
        <v>158</v>
      </c>
      <c r="B162" s="11" t="s">
        <v>7</v>
      </c>
      <c r="C162" s="8">
        <v>0.9</v>
      </c>
      <c r="D162" s="8">
        <v>0.5</v>
      </c>
      <c r="E162" s="8">
        <v>7.8730000000000002</v>
      </c>
      <c r="F162" s="8">
        <v>89.888000000000005</v>
      </c>
      <c r="G162" s="8">
        <v>7.0609999999999999</v>
      </c>
      <c r="H162" s="8"/>
    </row>
    <row r="163" spans="1:8" x14ac:dyDescent="0.35">
      <c r="A163" s="8">
        <v>159</v>
      </c>
      <c r="B163" s="11" t="s">
        <v>7</v>
      </c>
      <c r="C163" s="8">
        <v>0.9</v>
      </c>
      <c r="D163" s="8">
        <v>0.6</v>
      </c>
      <c r="E163" s="8">
        <v>8.2319999999999993</v>
      </c>
      <c r="F163" s="8">
        <v>97.358000000000004</v>
      </c>
      <c r="G163" s="8">
        <v>7.37</v>
      </c>
      <c r="H163" s="8"/>
    </row>
    <row r="164" spans="1:8" x14ac:dyDescent="0.35">
      <c r="A164" s="8">
        <v>160</v>
      </c>
      <c r="B164" s="11" t="s">
        <v>7</v>
      </c>
      <c r="C164" s="8">
        <v>0.9</v>
      </c>
      <c r="D164" s="8">
        <v>0.7</v>
      </c>
      <c r="E164" s="8">
        <v>8.6389999999999993</v>
      </c>
      <c r="F164" s="8">
        <v>106.348</v>
      </c>
      <c r="G164" s="8">
        <v>7.7210000000000001</v>
      </c>
      <c r="H164" s="8"/>
    </row>
    <row r="165" spans="1:8" x14ac:dyDescent="0.35">
      <c r="A165" s="8">
        <v>161</v>
      </c>
      <c r="B165" s="11" t="s">
        <v>7</v>
      </c>
      <c r="C165" s="8">
        <v>0.9</v>
      </c>
      <c r="D165" s="8">
        <v>0.8</v>
      </c>
      <c r="E165" s="8">
        <v>9.0579999999999998</v>
      </c>
      <c r="F165" s="8">
        <v>116.889</v>
      </c>
      <c r="G165" s="8">
        <v>8.0830000000000002</v>
      </c>
      <c r="H165" s="8"/>
    </row>
    <row r="166" spans="1:8" x14ac:dyDescent="0.35">
      <c r="A166" s="8">
        <v>162</v>
      </c>
      <c r="B166" s="11" t="s">
        <v>7</v>
      </c>
      <c r="C166" s="8">
        <v>0.9</v>
      </c>
      <c r="D166" s="8">
        <v>0.9</v>
      </c>
      <c r="E166" s="8">
        <v>9.4849999999999994</v>
      </c>
      <c r="F166" s="8">
        <v>129.06200000000001</v>
      </c>
      <c r="G166" s="8">
        <v>8.4529999999999994</v>
      </c>
      <c r="H166" s="8"/>
    </row>
    <row r="167" spans="1:8" x14ac:dyDescent="0.35">
      <c r="A167" s="8">
        <v>163</v>
      </c>
      <c r="B167" s="11" t="s">
        <v>20</v>
      </c>
      <c r="C167" s="8">
        <v>0.1</v>
      </c>
      <c r="D167" s="8">
        <v>0.1</v>
      </c>
      <c r="E167" s="8">
        <v>8.3460000000000001</v>
      </c>
      <c r="F167" s="8">
        <v>109.04300000000001</v>
      </c>
      <c r="G167" s="8">
        <v>7.0149999999999997</v>
      </c>
      <c r="H167" s="8"/>
    </row>
    <row r="168" spans="1:8" x14ac:dyDescent="0.35">
      <c r="A168" s="8">
        <v>164</v>
      </c>
      <c r="B168" s="11" t="s">
        <v>20</v>
      </c>
      <c r="C168" s="8">
        <v>0.1</v>
      </c>
      <c r="D168" s="8">
        <v>0.2</v>
      </c>
      <c r="E168" s="8">
        <v>8.4870000000000001</v>
      </c>
      <c r="F168" s="8">
        <v>115.08799999999999</v>
      </c>
      <c r="G168" s="8">
        <v>7.1859999999999999</v>
      </c>
      <c r="H168" s="8"/>
    </row>
    <row r="169" spans="1:8" x14ac:dyDescent="0.35">
      <c r="A169" s="8">
        <v>165</v>
      </c>
      <c r="B169" s="11" t="s">
        <v>20</v>
      </c>
      <c r="C169" s="8">
        <v>0.1</v>
      </c>
      <c r="D169" s="8">
        <v>0.3</v>
      </c>
      <c r="E169" s="8">
        <v>8.7029999999999994</v>
      </c>
      <c r="F169" s="8">
        <v>124.605</v>
      </c>
      <c r="G169" s="8">
        <v>7.3849999999999998</v>
      </c>
      <c r="H169" s="8"/>
    </row>
    <row r="170" spans="1:8" x14ac:dyDescent="0.35">
      <c r="A170" s="8">
        <v>166</v>
      </c>
      <c r="B170" s="11" t="s">
        <v>20</v>
      </c>
      <c r="C170" s="8">
        <v>0.1</v>
      </c>
      <c r="D170" s="8">
        <v>0.4</v>
      </c>
      <c r="E170" s="8">
        <v>9.1340000000000003</v>
      </c>
      <c r="F170" s="8">
        <v>135.40100000000001</v>
      </c>
      <c r="G170" s="8">
        <v>7.6120000000000001</v>
      </c>
      <c r="H170" s="8"/>
    </row>
    <row r="171" spans="1:8" x14ac:dyDescent="0.35">
      <c r="A171" s="8">
        <v>167</v>
      </c>
      <c r="B171" s="11" t="s">
        <v>20</v>
      </c>
      <c r="C171" s="8">
        <v>0.1</v>
      </c>
      <c r="D171" s="8">
        <v>0.5</v>
      </c>
      <c r="E171" s="8">
        <v>9.5549999999999997</v>
      </c>
      <c r="F171" s="8">
        <v>141.20400000000001</v>
      </c>
      <c r="G171" s="8">
        <v>8.0180000000000007</v>
      </c>
      <c r="H171" s="8"/>
    </row>
    <row r="172" spans="1:8" x14ac:dyDescent="0.35">
      <c r="A172" s="8">
        <v>168</v>
      </c>
      <c r="B172" s="11" t="s">
        <v>20</v>
      </c>
      <c r="C172" s="8">
        <v>0.1</v>
      </c>
      <c r="D172" s="8">
        <v>0.6</v>
      </c>
      <c r="E172" s="8">
        <v>9.6809999999999992</v>
      </c>
      <c r="F172" s="8">
        <v>149.464</v>
      </c>
      <c r="G172" s="8">
        <v>8.1440000000000001</v>
      </c>
      <c r="H172" s="8"/>
    </row>
    <row r="173" spans="1:8" x14ac:dyDescent="0.35">
      <c r="A173" s="8">
        <v>169</v>
      </c>
      <c r="B173" s="11" t="s">
        <v>20</v>
      </c>
      <c r="C173" s="8">
        <v>0.1</v>
      </c>
      <c r="D173" s="8">
        <v>0.7</v>
      </c>
      <c r="E173" s="8">
        <v>10.201000000000001</v>
      </c>
      <c r="F173" s="8">
        <v>165.547</v>
      </c>
      <c r="G173" s="8">
        <v>8.5389999999999997</v>
      </c>
      <c r="H173" s="8"/>
    </row>
    <row r="174" spans="1:8" x14ac:dyDescent="0.35">
      <c r="A174" s="8">
        <v>170</v>
      </c>
      <c r="B174" s="11" t="s">
        <v>20</v>
      </c>
      <c r="C174" s="8">
        <v>0.1</v>
      </c>
      <c r="D174" s="8">
        <v>0.8</v>
      </c>
      <c r="E174" s="8">
        <v>10.617000000000001</v>
      </c>
      <c r="F174" s="8">
        <v>174.95699999999999</v>
      </c>
      <c r="G174" s="8">
        <v>8.8870000000000005</v>
      </c>
      <c r="H174" s="8"/>
    </row>
    <row r="175" spans="1:8" x14ac:dyDescent="0.35">
      <c r="A175" s="8">
        <v>171</v>
      </c>
      <c r="B175" s="11" t="s">
        <v>20</v>
      </c>
      <c r="C175" s="8">
        <v>0.1</v>
      </c>
      <c r="D175" s="8">
        <v>0.9</v>
      </c>
      <c r="E175" s="8">
        <v>11.19</v>
      </c>
      <c r="F175" s="8">
        <v>179.97800000000001</v>
      </c>
      <c r="G175" s="8">
        <v>9.4030000000000005</v>
      </c>
      <c r="H175" s="8"/>
    </row>
    <row r="176" spans="1:8" x14ac:dyDescent="0.35">
      <c r="A176" s="8">
        <v>172</v>
      </c>
      <c r="B176" s="11" t="s">
        <v>20</v>
      </c>
      <c r="C176" s="8">
        <v>0.2</v>
      </c>
      <c r="D176" s="8">
        <v>0.1</v>
      </c>
      <c r="E176" s="8">
        <v>8.26</v>
      </c>
      <c r="F176" s="8">
        <v>113.94499999999999</v>
      </c>
      <c r="G176" s="8">
        <v>6.9610000000000003</v>
      </c>
      <c r="H176" s="8"/>
    </row>
    <row r="177" spans="1:8" x14ac:dyDescent="0.35">
      <c r="A177" s="8">
        <v>173</v>
      </c>
      <c r="B177" s="11" t="s">
        <v>20</v>
      </c>
      <c r="C177" s="8">
        <v>0.2</v>
      </c>
      <c r="D177" s="8">
        <v>0.2</v>
      </c>
      <c r="E177" s="8">
        <v>8.7230000000000008</v>
      </c>
      <c r="F177" s="8">
        <v>126.58199999999999</v>
      </c>
      <c r="G177" s="8">
        <v>7.343</v>
      </c>
      <c r="H177" s="8"/>
    </row>
    <row r="178" spans="1:8" x14ac:dyDescent="0.35">
      <c r="A178" s="8">
        <v>174</v>
      </c>
      <c r="B178" s="11" t="s">
        <v>20</v>
      </c>
      <c r="C178" s="8">
        <v>0.2</v>
      </c>
      <c r="D178" s="8">
        <v>0.3</v>
      </c>
      <c r="E178" s="8">
        <v>9.2859999999999996</v>
      </c>
      <c r="F178" s="8">
        <v>140.959</v>
      </c>
      <c r="G178" s="8">
        <v>7.8029999999999999</v>
      </c>
      <c r="H178" s="8"/>
    </row>
    <row r="179" spans="1:8" x14ac:dyDescent="0.35">
      <c r="A179" s="8">
        <v>175</v>
      </c>
      <c r="B179" s="11" t="s">
        <v>20</v>
      </c>
      <c r="C179" s="8">
        <v>0.2</v>
      </c>
      <c r="D179" s="8">
        <v>0.4</v>
      </c>
      <c r="E179" s="8">
        <v>9.9019999999999992</v>
      </c>
      <c r="F179" s="8">
        <v>156.00299999999999</v>
      </c>
      <c r="G179" s="8">
        <v>8.3149999999999995</v>
      </c>
      <c r="H179" s="8"/>
    </row>
    <row r="180" spans="1:8" x14ac:dyDescent="0.35">
      <c r="A180" s="8">
        <v>176</v>
      </c>
      <c r="B180" s="11" t="s">
        <v>20</v>
      </c>
      <c r="C180" s="8">
        <v>0.2</v>
      </c>
      <c r="D180" s="8">
        <v>0.5</v>
      </c>
      <c r="E180" s="8">
        <v>10.484999999999999</v>
      </c>
      <c r="F180" s="8">
        <v>172.26900000000001</v>
      </c>
      <c r="G180" s="8">
        <v>8.8049999999999997</v>
      </c>
      <c r="H180" s="8"/>
    </row>
    <row r="181" spans="1:8" x14ac:dyDescent="0.35">
      <c r="A181" s="8">
        <v>177</v>
      </c>
      <c r="B181" s="11" t="s">
        <v>20</v>
      </c>
      <c r="C181" s="8">
        <v>0.2</v>
      </c>
      <c r="D181" s="8">
        <v>0.6</v>
      </c>
      <c r="E181" s="8">
        <v>10.981</v>
      </c>
      <c r="F181" s="8">
        <v>191.91900000000001</v>
      </c>
      <c r="G181" s="8">
        <v>9.2159999999999993</v>
      </c>
      <c r="H181" s="8"/>
    </row>
    <row r="182" spans="1:8" x14ac:dyDescent="0.35">
      <c r="A182" s="8">
        <v>178</v>
      </c>
      <c r="B182" s="11" t="s">
        <v>20</v>
      </c>
      <c r="C182" s="8">
        <v>0.2</v>
      </c>
      <c r="D182" s="8">
        <v>0.7</v>
      </c>
      <c r="E182" s="8">
        <v>11.496</v>
      </c>
      <c r="F182" s="8">
        <v>214.67699999999999</v>
      </c>
      <c r="G182" s="8">
        <v>9.625</v>
      </c>
      <c r="H182" s="8"/>
    </row>
    <row r="183" spans="1:8" x14ac:dyDescent="0.35">
      <c r="A183" s="8">
        <v>179</v>
      </c>
      <c r="B183" s="11" t="s">
        <v>20</v>
      </c>
      <c r="C183" s="8">
        <v>0.2</v>
      </c>
      <c r="D183" s="8">
        <v>0.8</v>
      </c>
      <c r="E183" s="8">
        <v>12.009</v>
      </c>
      <c r="F183" s="8">
        <v>236.649</v>
      </c>
      <c r="G183" s="8">
        <v>10.021000000000001</v>
      </c>
      <c r="H183" s="8"/>
    </row>
    <row r="184" spans="1:8" x14ac:dyDescent="0.35">
      <c r="A184" s="8">
        <v>180</v>
      </c>
      <c r="B184" s="11" t="s">
        <v>20</v>
      </c>
      <c r="C184" s="8">
        <v>0.2</v>
      </c>
      <c r="D184" s="8">
        <v>0.9</v>
      </c>
      <c r="E184" s="8">
        <v>12.417999999999999</v>
      </c>
      <c r="F184" s="8">
        <v>254.88800000000001</v>
      </c>
      <c r="G184" s="8">
        <v>10.327999999999999</v>
      </c>
      <c r="H184" s="8"/>
    </row>
    <row r="185" spans="1:8" x14ac:dyDescent="0.35">
      <c r="A185" s="8">
        <v>181</v>
      </c>
      <c r="B185" s="11" t="s">
        <v>20</v>
      </c>
      <c r="C185" s="8">
        <v>0.3</v>
      </c>
      <c r="D185" s="8">
        <v>0.1</v>
      </c>
      <c r="E185" s="8">
        <v>8.52</v>
      </c>
      <c r="F185" s="8">
        <v>113.203</v>
      </c>
      <c r="G185" s="8">
        <v>7.1520000000000001</v>
      </c>
      <c r="H185" s="8"/>
    </row>
    <row r="186" spans="1:8" x14ac:dyDescent="0.35">
      <c r="A186" s="8">
        <v>182</v>
      </c>
      <c r="B186" s="11" t="s">
        <v>20</v>
      </c>
      <c r="C186" s="8">
        <v>0.3</v>
      </c>
      <c r="D186" s="8">
        <v>0.2</v>
      </c>
      <c r="E186" s="8">
        <v>9.0739999999999998</v>
      </c>
      <c r="F186" s="8">
        <v>128.08199999999999</v>
      </c>
      <c r="G186" s="8">
        <v>7.6040000000000001</v>
      </c>
      <c r="H186" s="8"/>
    </row>
    <row r="187" spans="1:8" x14ac:dyDescent="0.35">
      <c r="A187" s="8">
        <v>183</v>
      </c>
      <c r="B187" s="11" t="s">
        <v>20</v>
      </c>
      <c r="C187" s="8">
        <v>0.3</v>
      </c>
      <c r="D187" s="8">
        <v>0.3</v>
      </c>
      <c r="E187" s="8">
        <v>9.6170000000000009</v>
      </c>
      <c r="F187" s="8">
        <v>144.11799999999999</v>
      </c>
      <c r="G187" s="8">
        <v>8.0459999999999994</v>
      </c>
      <c r="H187" s="8"/>
    </row>
    <row r="188" spans="1:8" x14ac:dyDescent="0.35">
      <c r="A188" s="8">
        <v>184</v>
      </c>
      <c r="B188" s="11" t="s">
        <v>20</v>
      </c>
      <c r="C188" s="8">
        <v>0.3</v>
      </c>
      <c r="D188" s="8">
        <v>0.4</v>
      </c>
      <c r="E188" s="8">
        <v>10.135</v>
      </c>
      <c r="F188" s="8">
        <v>161.28700000000001</v>
      </c>
      <c r="G188" s="8">
        <v>8.4610000000000003</v>
      </c>
      <c r="H188" s="8"/>
    </row>
    <row r="189" spans="1:8" x14ac:dyDescent="0.35">
      <c r="A189" s="8">
        <v>185</v>
      </c>
      <c r="B189" s="11" t="s">
        <v>20</v>
      </c>
      <c r="C189" s="8">
        <v>0.3</v>
      </c>
      <c r="D189" s="8">
        <v>0.5</v>
      </c>
      <c r="E189" s="8">
        <v>10.586</v>
      </c>
      <c r="F189" s="8">
        <v>179.15600000000001</v>
      </c>
      <c r="G189" s="8">
        <v>8.8119999999999994</v>
      </c>
      <c r="H189" s="8"/>
    </row>
    <row r="190" spans="1:8" x14ac:dyDescent="0.35">
      <c r="A190" s="8">
        <v>186</v>
      </c>
      <c r="B190" s="11" t="s">
        <v>20</v>
      </c>
      <c r="C190" s="8">
        <v>0.3</v>
      </c>
      <c r="D190" s="8">
        <v>0.6</v>
      </c>
      <c r="E190" s="8">
        <v>11.007</v>
      </c>
      <c r="F190" s="8">
        <v>196.45400000000001</v>
      </c>
      <c r="G190" s="8">
        <v>9.1440000000000001</v>
      </c>
      <c r="H190" s="8"/>
    </row>
    <row r="191" spans="1:8" x14ac:dyDescent="0.35">
      <c r="A191" s="8">
        <v>187</v>
      </c>
      <c r="B191" s="11" t="s">
        <v>20</v>
      </c>
      <c r="C191" s="8">
        <v>0.3</v>
      </c>
      <c r="D191" s="8">
        <v>0.7</v>
      </c>
      <c r="E191" s="8">
        <v>11.534000000000001</v>
      </c>
      <c r="F191" s="8">
        <v>212.80500000000001</v>
      </c>
      <c r="G191" s="8">
        <v>9.5869999999999997</v>
      </c>
      <c r="H191" s="8"/>
    </row>
    <row r="192" spans="1:8" x14ac:dyDescent="0.35">
      <c r="A192" s="8">
        <v>188</v>
      </c>
      <c r="B192" s="11" t="s">
        <v>20</v>
      </c>
      <c r="C192" s="8">
        <v>0.3</v>
      </c>
      <c r="D192" s="8">
        <v>0.8</v>
      </c>
      <c r="E192" s="8">
        <v>11.997999999999999</v>
      </c>
      <c r="F192" s="8">
        <v>228.76499999999999</v>
      </c>
      <c r="G192" s="8">
        <v>9.9819999999999993</v>
      </c>
      <c r="H192" s="8"/>
    </row>
    <row r="193" spans="1:8" x14ac:dyDescent="0.35">
      <c r="A193" s="8">
        <v>189</v>
      </c>
      <c r="B193" s="11" t="s">
        <v>20</v>
      </c>
      <c r="C193" s="8">
        <v>0.3</v>
      </c>
      <c r="D193" s="8">
        <v>0.9</v>
      </c>
      <c r="E193" s="8">
        <v>12.500999999999999</v>
      </c>
      <c r="F193" s="8">
        <v>244.7</v>
      </c>
      <c r="G193" s="8">
        <v>10.414999999999999</v>
      </c>
      <c r="H193" s="8"/>
    </row>
    <row r="194" spans="1:8" x14ac:dyDescent="0.35">
      <c r="A194" s="8">
        <v>190</v>
      </c>
      <c r="B194" s="11" t="s">
        <v>20</v>
      </c>
      <c r="C194" s="8">
        <v>0.4</v>
      </c>
      <c r="D194" s="8">
        <v>0.1</v>
      </c>
      <c r="E194" s="8">
        <v>8.3960000000000008</v>
      </c>
      <c r="F194" s="8">
        <v>107.38</v>
      </c>
      <c r="G194" s="8">
        <v>7.0259999999999998</v>
      </c>
      <c r="H194" s="8"/>
    </row>
    <row r="195" spans="1:8" x14ac:dyDescent="0.35">
      <c r="A195" s="8">
        <v>191</v>
      </c>
      <c r="B195" s="11" t="s">
        <v>20</v>
      </c>
      <c r="C195" s="8">
        <v>0.4</v>
      </c>
      <c r="D195" s="8">
        <v>0.2</v>
      </c>
      <c r="E195" s="8">
        <v>8.8949999999999996</v>
      </c>
      <c r="F195" s="8">
        <v>121.61</v>
      </c>
      <c r="G195" s="8">
        <v>7.4269999999999996</v>
      </c>
      <c r="H195" s="8"/>
    </row>
    <row r="196" spans="1:8" x14ac:dyDescent="0.35">
      <c r="A196" s="8">
        <v>192</v>
      </c>
      <c r="B196" s="11" t="s">
        <v>20</v>
      </c>
      <c r="C196" s="8">
        <v>0.4</v>
      </c>
      <c r="D196" s="8">
        <v>0.3</v>
      </c>
      <c r="E196" s="8">
        <v>9.4149999999999991</v>
      </c>
      <c r="F196" s="8">
        <v>136.31100000000001</v>
      </c>
      <c r="G196" s="8">
        <v>7.8490000000000002</v>
      </c>
      <c r="H196" s="8"/>
    </row>
    <row r="197" spans="1:8" x14ac:dyDescent="0.35">
      <c r="A197" s="8">
        <v>193</v>
      </c>
      <c r="B197" s="11" t="s">
        <v>20</v>
      </c>
      <c r="C197" s="8">
        <v>0.4</v>
      </c>
      <c r="D197" s="8">
        <v>0.4</v>
      </c>
      <c r="E197" s="8">
        <v>9.8260000000000005</v>
      </c>
      <c r="F197" s="8">
        <v>151.089</v>
      </c>
      <c r="G197" s="8">
        <v>8.1829999999999998</v>
      </c>
      <c r="H197" s="8"/>
    </row>
    <row r="198" spans="1:8" x14ac:dyDescent="0.35">
      <c r="A198" s="8">
        <v>194</v>
      </c>
      <c r="B198" s="11" t="s">
        <v>20</v>
      </c>
      <c r="C198" s="8">
        <v>0.4</v>
      </c>
      <c r="D198" s="8">
        <v>0.5</v>
      </c>
      <c r="E198" s="8">
        <v>10.224</v>
      </c>
      <c r="F198" s="8">
        <v>165.375</v>
      </c>
      <c r="G198" s="8">
        <v>8.5120000000000005</v>
      </c>
      <c r="H198" s="8"/>
    </row>
    <row r="199" spans="1:8" x14ac:dyDescent="0.35">
      <c r="A199" s="8">
        <v>195</v>
      </c>
      <c r="B199" s="11" t="s">
        <v>20</v>
      </c>
      <c r="C199" s="8">
        <v>0.4</v>
      </c>
      <c r="D199" s="8">
        <v>0.6</v>
      </c>
      <c r="E199" s="8">
        <v>10.69</v>
      </c>
      <c r="F199" s="8">
        <v>178.78100000000001</v>
      </c>
      <c r="G199" s="8">
        <v>8.9130000000000003</v>
      </c>
      <c r="H199" s="8"/>
    </row>
    <row r="200" spans="1:8" x14ac:dyDescent="0.35">
      <c r="A200" s="8">
        <v>196</v>
      </c>
      <c r="B200" s="11" t="s">
        <v>20</v>
      </c>
      <c r="C200" s="8">
        <v>0.4</v>
      </c>
      <c r="D200" s="8">
        <v>0.7</v>
      </c>
      <c r="E200" s="8">
        <v>11.105</v>
      </c>
      <c r="F200" s="8">
        <v>190.887</v>
      </c>
      <c r="G200" s="8">
        <v>9.2560000000000002</v>
      </c>
      <c r="H200" s="8"/>
    </row>
    <row r="201" spans="1:8" x14ac:dyDescent="0.35">
      <c r="A201" s="8">
        <v>197</v>
      </c>
      <c r="B201" s="11" t="s">
        <v>20</v>
      </c>
      <c r="C201" s="8">
        <v>0.4</v>
      </c>
      <c r="D201" s="8">
        <v>0.8</v>
      </c>
      <c r="E201" s="8">
        <v>11.429</v>
      </c>
      <c r="F201" s="8">
        <v>200.964</v>
      </c>
      <c r="G201" s="8">
        <v>9.5050000000000008</v>
      </c>
      <c r="H201" s="8"/>
    </row>
    <row r="202" spans="1:8" x14ac:dyDescent="0.35">
      <c r="A202" s="8">
        <v>198</v>
      </c>
      <c r="B202" s="11" t="s">
        <v>20</v>
      </c>
      <c r="C202" s="8">
        <v>0.4</v>
      </c>
      <c r="D202" s="8">
        <v>0.9</v>
      </c>
      <c r="E202" s="8">
        <v>11.492000000000001</v>
      </c>
      <c r="F202" s="8">
        <v>208.23400000000001</v>
      </c>
      <c r="G202" s="8">
        <v>9.5350000000000001</v>
      </c>
      <c r="H202" s="8"/>
    </row>
    <row r="203" spans="1:8" x14ac:dyDescent="0.35">
      <c r="A203" s="8">
        <v>199</v>
      </c>
      <c r="B203" s="11" t="s">
        <v>20</v>
      </c>
      <c r="C203" s="8">
        <v>0.5</v>
      </c>
      <c r="D203" s="8">
        <v>0.1</v>
      </c>
      <c r="E203" s="8">
        <v>8.1110000000000007</v>
      </c>
      <c r="F203" s="8">
        <v>99.093000000000004</v>
      </c>
      <c r="G203" s="8">
        <v>6.782</v>
      </c>
      <c r="H203" s="8"/>
    </row>
    <row r="204" spans="1:8" x14ac:dyDescent="0.35">
      <c r="A204" s="8">
        <v>200</v>
      </c>
      <c r="B204" s="11" t="s">
        <v>20</v>
      </c>
      <c r="C204" s="8">
        <v>0.5</v>
      </c>
      <c r="D204" s="8">
        <v>0.2</v>
      </c>
      <c r="E204" s="8">
        <v>8.6370000000000005</v>
      </c>
      <c r="F204" s="8">
        <v>111.38200000000001</v>
      </c>
      <c r="G204" s="8">
        <v>7.218</v>
      </c>
      <c r="H204" s="8"/>
    </row>
    <row r="205" spans="1:8" x14ac:dyDescent="0.35">
      <c r="A205" s="8">
        <v>201</v>
      </c>
      <c r="B205" s="11" t="s">
        <v>20</v>
      </c>
      <c r="C205" s="8">
        <v>0.5</v>
      </c>
      <c r="D205" s="8">
        <v>0.3</v>
      </c>
      <c r="E205" s="8">
        <v>9.1340000000000003</v>
      </c>
      <c r="F205" s="8">
        <v>123.416</v>
      </c>
      <c r="G205" s="8">
        <v>7.6340000000000003</v>
      </c>
      <c r="H205" s="8"/>
    </row>
    <row r="206" spans="1:8" x14ac:dyDescent="0.35">
      <c r="A206" s="8">
        <v>202</v>
      </c>
      <c r="B206" s="11" t="s">
        <v>20</v>
      </c>
      <c r="C206" s="8">
        <v>0.5</v>
      </c>
      <c r="D206" s="8">
        <v>0.4</v>
      </c>
      <c r="E206" s="8">
        <v>9.484</v>
      </c>
      <c r="F206" s="8">
        <v>134.721</v>
      </c>
      <c r="G206" s="8">
        <v>7.93</v>
      </c>
      <c r="H206" s="8"/>
    </row>
    <row r="207" spans="1:8" x14ac:dyDescent="0.35">
      <c r="A207" s="8">
        <v>203</v>
      </c>
      <c r="B207" s="11" t="s">
        <v>20</v>
      </c>
      <c r="C207" s="8">
        <v>0.5</v>
      </c>
      <c r="D207" s="8">
        <v>0.5</v>
      </c>
      <c r="E207" s="8">
        <v>9.7959999999999994</v>
      </c>
      <c r="F207" s="8">
        <v>144.70699999999999</v>
      </c>
      <c r="G207" s="8">
        <v>8.1839999999999993</v>
      </c>
      <c r="H207" s="8"/>
    </row>
    <row r="208" spans="1:8" x14ac:dyDescent="0.35">
      <c r="A208" s="8">
        <v>204</v>
      </c>
      <c r="B208" s="11" t="s">
        <v>20</v>
      </c>
      <c r="C208" s="8">
        <v>0.5</v>
      </c>
      <c r="D208" s="8">
        <v>0.6</v>
      </c>
      <c r="E208" s="8">
        <v>10.079000000000001</v>
      </c>
      <c r="F208" s="8">
        <v>152.78100000000001</v>
      </c>
      <c r="G208" s="8">
        <v>8.4009999999999998</v>
      </c>
      <c r="H208" s="8"/>
    </row>
    <row r="209" spans="1:8" x14ac:dyDescent="0.35">
      <c r="A209" s="8">
        <v>205</v>
      </c>
      <c r="B209" s="11" t="s">
        <v>20</v>
      </c>
      <c r="C209" s="8">
        <v>0.5</v>
      </c>
      <c r="D209" s="8">
        <v>0.7</v>
      </c>
      <c r="E209" s="8">
        <v>10.178000000000001</v>
      </c>
      <c r="F209" s="8">
        <v>158.50200000000001</v>
      </c>
      <c r="G209" s="8">
        <v>8.4730000000000008</v>
      </c>
      <c r="H209" s="8"/>
    </row>
    <row r="210" spans="1:8" x14ac:dyDescent="0.35">
      <c r="A210" s="8">
        <v>206</v>
      </c>
      <c r="B210" s="11" t="s">
        <v>20</v>
      </c>
      <c r="C210" s="8">
        <v>0.5</v>
      </c>
      <c r="D210" s="8">
        <v>0.8</v>
      </c>
      <c r="E210" s="8">
        <v>10.225</v>
      </c>
      <c r="F210" s="8">
        <v>161.857</v>
      </c>
      <c r="G210" s="8">
        <v>8.5129999999999999</v>
      </c>
      <c r="H210" s="8"/>
    </row>
    <row r="211" spans="1:8" x14ac:dyDescent="0.35">
      <c r="A211" s="8">
        <v>207</v>
      </c>
      <c r="B211" s="11" t="s">
        <v>20</v>
      </c>
      <c r="C211" s="8">
        <v>0.5</v>
      </c>
      <c r="D211" s="8">
        <v>0.9</v>
      </c>
      <c r="E211" s="8">
        <v>10.339</v>
      </c>
      <c r="F211" s="8">
        <v>163.30199999999999</v>
      </c>
      <c r="G211" s="8">
        <v>8.6280000000000001</v>
      </c>
      <c r="H211" s="8"/>
    </row>
    <row r="212" spans="1:8" x14ac:dyDescent="0.35">
      <c r="A212" s="8">
        <v>208</v>
      </c>
      <c r="B212" s="11" t="s">
        <v>20</v>
      </c>
      <c r="C212" s="8">
        <v>0.6</v>
      </c>
      <c r="D212" s="8">
        <v>0.1</v>
      </c>
      <c r="E212" s="8">
        <v>7.9370000000000003</v>
      </c>
      <c r="F212" s="8">
        <v>90.144999999999996</v>
      </c>
      <c r="G212" s="8">
        <v>6.6539999999999999</v>
      </c>
      <c r="H212" s="8"/>
    </row>
    <row r="213" spans="1:8" x14ac:dyDescent="0.35">
      <c r="A213" s="8">
        <v>209</v>
      </c>
      <c r="B213" s="11" t="s">
        <v>20</v>
      </c>
      <c r="C213" s="8">
        <v>0.6</v>
      </c>
      <c r="D213" s="8">
        <v>0.2</v>
      </c>
      <c r="E213" s="8">
        <v>8.391</v>
      </c>
      <c r="F213" s="8">
        <v>100.12</v>
      </c>
      <c r="G213" s="8">
        <v>7.0369999999999999</v>
      </c>
      <c r="H213" s="8"/>
    </row>
    <row r="214" spans="1:8" x14ac:dyDescent="0.35">
      <c r="A214" s="8">
        <v>210</v>
      </c>
      <c r="B214" s="11" t="s">
        <v>20</v>
      </c>
      <c r="C214" s="8">
        <v>0.6</v>
      </c>
      <c r="D214" s="8">
        <v>0.3</v>
      </c>
      <c r="E214" s="8">
        <v>8.6859999999999999</v>
      </c>
      <c r="F214" s="8">
        <v>109.23</v>
      </c>
      <c r="G214" s="8">
        <v>7.2910000000000004</v>
      </c>
      <c r="H214" s="8"/>
    </row>
    <row r="215" spans="1:8" x14ac:dyDescent="0.35">
      <c r="A215" s="8">
        <v>211</v>
      </c>
      <c r="B215" s="11" t="s">
        <v>20</v>
      </c>
      <c r="C215" s="8">
        <v>0.6</v>
      </c>
      <c r="D215" s="8">
        <v>0.4</v>
      </c>
      <c r="E215" s="8">
        <v>8.9969999999999999</v>
      </c>
      <c r="F215" s="8">
        <v>116.98099999999999</v>
      </c>
      <c r="G215" s="8">
        <v>7.5380000000000003</v>
      </c>
      <c r="H215" s="8"/>
    </row>
    <row r="216" spans="1:8" x14ac:dyDescent="0.35">
      <c r="A216" s="8">
        <v>212</v>
      </c>
      <c r="B216" s="11" t="s">
        <v>20</v>
      </c>
      <c r="C216" s="8">
        <v>0.6</v>
      </c>
      <c r="D216" s="8">
        <v>0.5</v>
      </c>
      <c r="E216" s="8">
        <v>9.19</v>
      </c>
      <c r="F216" s="8">
        <v>122.878</v>
      </c>
      <c r="G216" s="8">
        <v>7.6849999999999996</v>
      </c>
      <c r="H216" s="8"/>
    </row>
    <row r="217" spans="1:8" x14ac:dyDescent="0.35">
      <c r="A217" s="8">
        <v>213</v>
      </c>
      <c r="B217" s="11" t="s">
        <v>20</v>
      </c>
      <c r="C217" s="8">
        <v>0.6</v>
      </c>
      <c r="D217" s="8">
        <v>0.6</v>
      </c>
      <c r="E217" s="8">
        <v>9.2230000000000008</v>
      </c>
      <c r="F217" s="8">
        <v>126.666</v>
      </c>
      <c r="G217" s="8">
        <v>7.7060000000000004</v>
      </c>
      <c r="H217" s="8"/>
    </row>
    <row r="218" spans="1:8" x14ac:dyDescent="0.35">
      <c r="A218" s="8">
        <v>214</v>
      </c>
      <c r="B218" s="11" t="s">
        <v>20</v>
      </c>
      <c r="C218" s="8">
        <v>0.6</v>
      </c>
      <c r="D218" s="8">
        <v>0.7</v>
      </c>
      <c r="E218" s="8">
        <v>9.2029999999999994</v>
      </c>
      <c r="F218" s="8">
        <v>128.43100000000001</v>
      </c>
      <c r="G218" s="8">
        <v>7.6989999999999998</v>
      </c>
      <c r="H218" s="8"/>
    </row>
    <row r="219" spans="1:8" x14ac:dyDescent="0.35">
      <c r="A219" s="8">
        <v>215</v>
      </c>
      <c r="B219" s="11" t="s">
        <v>20</v>
      </c>
      <c r="C219" s="8">
        <v>0.6</v>
      </c>
      <c r="D219" s="8">
        <v>0.8</v>
      </c>
      <c r="E219" s="8">
        <v>9.343</v>
      </c>
      <c r="F219" s="8">
        <v>128.47</v>
      </c>
      <c r="G219" s="8">
        <v>7.8079999999999998</v>
      </c>
      <c r="H219" s="8"/>
    </row>
    <row r="220" spans="1:8" x14ac:dyDescent="0.35">
      <c r="A220" s="8">
        <v>216</v>
      </c>
      <c r="B220" s="11" t="s">
        <v>20</v>
      </c>
      <c r="C220" s="8">
        <v>0.6</v>
      </c>
      <c r="D220" s="8">
        <v>0.9</v>
      </c>
      <c r="E220" s="8">
        <v>9.2929999999999993</v>
      </c>
      <c r="F220" s="8">
        <v>127.035</v>
      </c>
      <c r="G220" s="8">
        <v>7.7619999999999996</v>
      </c>
      <c r="H220" s="8"/>
    </row>
    <row r="221" spans="1:8" x14ac:dyDescent="0.35">
      <c r="A221" s="8">
        <v>217</v>
      </c>
      <c r="B221" s="11" t="s">
        <v>20</v>
      </c>
      <c r="C221" s="8">
        <v>0.7</v>
      </c>
      <c r="D221" s="8">
        <v>0.1</v>
      </c>
      <c r="E221" s="8">
        <v>7.657</v>
      </c>
      <c r="F221" s="8">
        <v>81.572999999999993</v>
      </c>
      <c r="G221" s="8">
        <v>6.4390000000000001</v>
      </c>
      <c r="H221" s="8"/>
    </row>
    <row r="222" spans="1:8" x14ac:dyDescent="0.35">
      <c r="A222" s="8">
        <v>218</v>
      </c>
      <c r="B222" s="11" t="s">
        <v>20</v>
      </c>
      <c r="C222" s="8">
        <v>0.7</v>
      </c>
      <c r="D222" s="8">
        <v>0.2</v>
      </c>
      <c r="E222" s="8">
        <v>7.952</v>
      </c>
      <c r="F222" s="8">
        <v>89.346999999999994</v>
      </c>
      <c r="G222" s="8">
        <v>6.694</v>
      </c>
      <c r="H222" s="8"/>
    </row>
    <row r="223" spans="1:8" x14ac:dyDescent="0.35">
      <c r="A223" s="8">
        <v>219</v>
      </c>
      <c r="B223" s="11" t="s">
        <v>20</v>
      </c>
      <c r="C223" s="8">
        <v>0.7</v>
      </c>
      <c r="D223" s="8">
        <v>0.3</v>
      </c>
      <c r="E223" s="8">
        <v>8.2149999999999999</v>
      </c>
      <c r="F223" s="8">
        <v>95.863</v>
      </c>
      <c r="G223" s="8">
        <v>6.907</v>
      </c>
      <c r="H223" s="8"/>
    </row>
    <row r="224" spans="1:8" x14ac:dyDescent="0.35">
      <c r="A224" s="8">
        <v>220</v>
      </c>
      <c r="B224" s="11" t="s">
        <v>20</v>
      </c>
      <c r="C224" s="8">
        <v>0.7</v>
      </c>
      <c r="D224" s="8">
        <v>0.4</v>
      </c>
      <c r="E224" s="8">
        <v>8.4090000000000007</v>
      </c>
      <c r="F224" s="8">
        <v>100.748</v>
      </c>
      <c r="G224" s="8">
        <v>7.056</v>
      </c>
      <c r="H224" s="8"/>
    </row>
    <row r="225" spans="1:8" x14ac:dyDescent="0.35">
      <c r="A225" s="8">
        <v>221</v>
      </c>
      <c r="B225" s="11" t="s">
        <v>20</v>
      </c>
      <c r="C225" s="8">
        <v>0.7</v>
      </c>
      <c r="D225" s="8">
        <v>0.5</v>
      </c>
      <c r="E225" s="8">
        <v>8.3970000000000002</v>
      </c>
      <c r="F225" s="8">
        <v>103.777</v>
      </c>
      <c r="G225" s="8">
        <v>7.0410000000000004</v>
      </c>
      <c r="H225" s="8"/>
    </row>
    <row r="226" spans="1:8" x14ac:dyDescent="0.35">
      <c r="A226" s="8">
        <v>222</v>
      </c>
      <c r="B226" s="11" t="s">
        <v>20</v>
      </c>
      <c r="C226" s="8">
        <v>0.7</v>
      </c>
      <c r="D226" s="8">
        <v>0.6</v>
      </c>
      <c r="E226" s="8">
        <v>8.3230000000000004</v>
      </c>
      <c r="F226" s="8">
        <v>104.989</v>
      </c>
      <c r="G226" s="8">
        <v>6.9779999999999998</v>
      </c>
      <c r="H226" s="8"/>
    </row>
    <row r="227" spans="1:8" x14ac:dyDescent="0.35">
      <c r="A227" s="8">
        <v>223</v>
      </c>
      <c r="B227" s="11" t="s">
        <v>20</v>
      </c>
      <c r="C227" s="8">
        <v>0.7</v>
      </c>
      <c r="D227" s="8">
        <v>0.7</v>
      </c>
      <c r="E227" s="8">
        <v>8.3460000000000001</v>
      </c>
      <c r="F227" s="8">
        <v>104.613</v>
      </c>
      <c r="G227" s="8">
        <v>6.99</v>
      </c>
      <c r="H227" s="8"/>
    </row>
    <row r="228" spans="1:8" x14ac:dyDescent="0.35">
      <c r="A228" s="8">
        <v>224</v>
      </c>
      <c r="B228" s="11" t="s">
        <v>20</v>
      </c>
      <c r="C228" s="8">
        <v>0.7</v>
      </c>
      <c r="D228" s="8">
        <v>0.8</v>
      </c>
      <c r="E228" s="8">
        <v>8.1760000000000002</v>
      </c>
      <c r="F228" s="8">
        <v>102.916</v>
      </c>
      <c r="G228" s="8">
        <v>6.8449999999999998</v>
      </c>
      <c r="H228" s="8"/>
    </row>
    <row r="229" spans="1:8" x14ac:dyDescent="0.35">
      <c r="A229" s="8">
        <v>225</v>
      </c>
      <c r="B229" s="11" t="s">
        <v>20</v>
      </c>
      <c r="C229" s="8">
        <v>0.7</v>
      </c>
      <c r="D229" s="8">
        <v>0.9</v>
      </c>
      <c r="E229" s="8">
        <v>8.0549999999999997</v>
      </c>
      <c r="F229" s="8">
        <v>100.169</v>
      </c>
      <c r="G229" s="8">
        <v>6.7430000000000003</v>
      </c>
      <c r="H229" s="8"/>
    </row>
    <row r="230" spans="1:8" x14ac:dyDescent="0.35">
      <c r="A230" s="8">
        <v>226</v>
      </c>
      <c r="B230" s="11" t="s">
        <v>20</v>
      </c>
      <c r="C230" s="8">
        <v>0.8</v>
      </c>
      <c r="D230" s="8">
        <v>0.1</v>
      </c>
      <c r="E230" s="8">
        <v>7.2850000000000001</v>
      </c>
      <c r="F230" s="8">
        <v>73.924000000000007</v>
      </c>
      <c r="G230" s="8">
        <v>6.1440000000000001</v>
      </c>
      <c r="H230" s="8"/>
    </row>
    <row r="231" spans="1:8" x14ac:dyDescent="0.35">
      <c r="A231" s="8">
        <v>227</v>
      </c>
      <c r="B231" s="11" t="s">
        <v>20</v>
      </c>
      <c r="C231" s="8">
        <v>0.8</v>
      </c>
      <c r="D231" s="8">
        <v>0.2</v>
      </c>
      <c r="E231" s="8">
        <v>7.5019999999999998</v>
      </c>
      <c r="F231" s="8">
        <v>79.864999999999995</v>
      </c>
      <c r="G231" s="8">
        <v>6.3310000000000004</v>
      </c>
      <c r="H231" s="8"/>
    </row>
    <row r="232" spans="1:8" x14ac:dyDescent="0.35">
      <c r="A232" s="8">
        <v>228</v>
      </c>
      <c r="B232" s="11" t="s">
        <v>20</v>
      </c>
      <c r="C232" s="8">
        <v>0.8</v>
      </c>
      <c r="D232" s="8">
        <v>0.3</v>
      </c>
      <c r="E232" s="8">
        <v>7.7169999999999996</v>
      </c>
      <c r="F232" s="8">
        <v>84.397000000000006</v>
      </c>
      <c r="G232" s="8">
        <v>6.4969999999999999</v>
      </c>
      <c r="H232" s="8"/>
    </row>
    <row r="233" spans="1:8" x14ac:dyDescent="0.35">
      <c r="A233" s="8">
        <v>229</v>
      </c>
      <c r="B233" s="11" t="s">
        <v>20</v>
      </c>
      <c r="C233" s="8">
        <v>0.8</v>
      </c>
      <c r="D233" s="8">
        <v>0.4</v>
      </c>
      <c r="E233" s="8">
        <v>7.72</v>
      </c>
      <c r="F233" s="8">
        <v>87.337000000000003</v>
      </c>
      <c r="G233" s="8">
        <v>6.4939999999999998</v>
      </c>
      <c r="H233" s="8"/>
    </row>
    <row r="234" spans="1:8" x14ac:dyDescent="0.35">
      <c r="A234" s="8">
        <v>230</v>
      </c>
      <c r="B234" s="11" t="s">
        <v>20</v>
      </c>
      <c r="C234" s="8">
        <v>0.8</v>
      </c>
      <c r="D234" s="8">
        <v>0.5</v>
      </c>
      <c r="E234" s="8">
        <v>7.5609999999999999</v>
      </c>
      <c r="F234" s="8">
        <v>88.680999999999997</v>
      </c>
      <c r="G234" s="8">
        <v>6.359</v>
      </c>
      <c r="H234" s="8"/>
    </row>
    <row r="235" spans="1:8" x14ac:dyDescent="0.35">
      <c r="A235" s="8">
        <v>231</v>
      </c>
      <c r="B235" s="11" t="s">
        <v>20</v>
      </c>
      <c r="C235" s="8">
        <v>0.8</v>
      </c>
      <c r="D235" s="8">
        <v>0.6</v>
      </c>
      <c r="E235" s="8">
        <v>7.5289999999999999</v>
      </c>
      <c r="F235" s="8">
        <v>88.623999999999995</v>
      </c>
      <c r="G235" s="8">
        <v>6.3230000000000004</v>
      </c>
      <c r="H235" s="8"/>
    </row>
    <row r="236" spans="1:8" x14ac:dyDescent="0.35">
      <c r="A236" s="8">
        <v>232</v>
      </c>
      <c r="B236" s="11" t="s">
        <v>20</v>
      </c>
      <c r="C236" s="8">
        <v>0.8</v>
      </c>
      <c r="D236" s="8">
        <v>0.7</v>
      </c>
      <c r="E236" s="8">
        <v>7.4509999999999996</v>
      </c>
      <c r="F236" s="8">
        <v>87.460999999999999</v>
      </c>
      <c r="G236" s="8">
        <v>6.2510000000000003</v>
      </c>
      <c r="H236" s="8"/>
    </row>
    <row r="237" spans="1:8" x14ac:dyDescent="0.35">
      <c r="A237" s="8">
        <v>233</v>
      </c>
      <c r="B237" s="11" t="s">
        <v>20</v>
      </c>
      <c r="C237" s="8">
        <v>0.8</v>
      </c>
      <c r="D237" s="8">
        <v>0.8</v>
      </c>
      <c r="E237" s="8">
        <v>7.4279999999999999</v>
      </c>
      <c r="F237" s="8">
        <v>85.527000000000001</v>
      </c>
      <c r="G237" s="8">
        <v>6.2450000000000001</v>
      </c>
      <c r="H237" s="8"/>
    </row>
    <row r="238" spans="1:8" x14ac:dyDescent="0.35">
      <c r="A238" s="8">
        <v>234</v>
      </c>
      <c r="B238" s="11" t="s">
        <v>20</v>
      </c>
      <c r="C238" s="8">
        <v>0.8</v>
      </c>
      <c r="D238" s="8">
        <v>0.9</v>
      </c>
      <c r="E238" s="8">
        <v>7.5229999999999997</v>
      </c>
      <c r="F238" s="8">
        <v>83.171999999999997</v>
      </c>
      <c r="G238" s="8">
        <v>6.327</v>
      </c>
      <c r="H238" s="8"/>
    </row>
    <row r="239" spans="1:8" x14ac:dyDescent="0.35">
      <c r="A239" s="8">
        <v>235</v>
      </c>
      <c r="B239" s="11" t="s">
        <v>20</v>
      </c>
      <c r="C239" s="8">
        <v>0.9</v>
      </c>
      <c r="D239" s="8">
        <v>0.1</v>
      </c>
      <c r="E239" s="8">
        <v>6.8890000000000002</v>
      </c>
      <c r="F239" s="8">
        <v>67.436000000000007</v>
      </c>
      <c r="G239" s="8">
        <v>5.8259999999999996</v>
      </c>
      <c r="H239" s="8"/>
    </row>
    <row r="240" spans="1:8" x14ac:dyDescent="0.35">
      <c r="A240" s="8">
        <v>236</v>
      </c>
      <c r="B240" s="11" t="s">
        <v>20</v>
      </c>
      <c r="C240" s="8">
        <v>0.9</v>
      </c>
      <c r="D240" s="8">
        <v>0.2</v>
      </c>
      <c r="E240" s="8">
        <v>7.093</v>
      </c>
      <c r="F240" s="8">
        <v>71.998000000000005</v>
      </c>
      <c r="G240" s="8">
        <v>5.992</v>
      </c>
      <c r="H240" s="8"/>
    </row>
    <row r="241" spans="1:8" x14ac:dyDescent="0.35">
      <c r="A241" s="8">
        <v>237</v>
      </c>
      <c r="B241" s="11" t="s">
        <v>20</v>
      </c>
      <c r="C241" s="8">
        <v>0.9</v>
      </c>
      <c r="D241" s="8">
        <v>0.3</v>
      </c>
      <c r="E241" s="8">
        <v>7.1550000000000002</v>
      </c>
      <c r="F241" s="8">
        <v>75.192999999999998</v>
      </c>
      <c r="G241" s="8">
        <v>6.0359999999999996</v>
      </c>
      <c r="H241" s="8"/>
    </row>
    <row r="242" spans="1:8" x14ac:dyDescent="0.35">
      <c r="A242" s="8">
        <v>238</v>
      </c>
      <c r="B242" s="11" t="s">
        <v>20</v>
      </c>
      <c r="C242" s="8">
        <v>0.9</v>
      </c>
      <c r="D242" s="8">
        <v>0.4</v>
      </c>
      <c r="E242" s="8">
        <v>7.0170000000000003</v>
      </c>
      <c r="F242" s="8">
        <v>77.010000000000005</v>
      </c>
      <c r="G242" s="8">
        <v>5.9180000000000001</v>
      </c>
      <c r="H242" s="8"/>
    </row>
    <row r="243" spans="1:8" x14ac:dyDescent="0.35">
      <c r="A243" s="29">
        <v>239</v>
      </c>
      <c r="B243" s="30" t="s">
        <v>20</v>
      </c>
      <c r="C243" s="29">
        <v>0.9</v>
      </c>
      <c r="D243" s="29">
        <v>0.5</v>
      </c>
      <c r="E243" s="29">
        <v>6.9109999999999996</v>
      </c>
      <c r="F243" s="29">
        <v>77.596999999999994</v>
      </c>
      <c r="G243" s="29">
        <v>5.8220000000000001</v>
      </c>
      <c r="H243" s="29" t="s">
        <v>218</v>
      </c>
    </row>
    <row r="244" spans="1:8" x14ac:dyDescent="0.35">
      <c r="A244" s="8">
        <v>240</v>
      </c>
      <c r="B244" s="11" t="s">
        <v>20</v>
      </c>
      <c r="C244" s="8">
        <v>0.9</v>
      </c>
      <c r="D244" s="8">
        <v>0.6</v>
      </c>
      <c r="E244" s="8">
        <v>6.9619999999999997</v>
      </c>
      <c r="F244" s="8">
        <v>77.231999999999999</v>
      </c>
      <c r="G244" s="8">
        <v>5.86</v>
      </c>
      <c r="H244" s="8"/>
    </row>
    <row r="245" spans="1:8" x14ac:dyDescent="0.35">
      <c r="A245" s="8">
        <v>241</v>
      </c>
      <c r="B245" s="11" t="s">
        <v>20</v>
      </c>
      <c r="C245" s="8">
        <v>0.9</v>
      </c>
      <c r="D245" s="8">
        <v>0.7</v>
      </c>
      <c r="E245" s="8">
        <v>7.0330000000000004</v>
      </c>
      <c r="F245" s="8">
        <v>76.248999999999995</v>
      </c>
      <c r="G245" s="8">
        <v>5.931</v>
      </c>
      <c r="H245" s="8"/>
    </row>
    <row r="246" spans="1:8" x14ac:dyDescent="0.35">
      <c r="A246" s="8">
        <v>242</v>
      </c>
      <c r="B246" s="11" t="s">
        <v>20</v>
      </c>
      <c r="C246" s="8">
        <v>0.9</v>
      </c>
      <c r="D246" s="8">
        <v>0.8</v>
      </c>
      <c r="E246" s="8">
        <v>7.1630000000000003</v>
      </c>
      <c r="F246" s="8">
        <v>74.986000000000004</v>
      </c>
      <c r="G246" s="8">
        <v>6.0419999999999998</v>
      </c>
      <c r="H246" s="8"/>
    </row>
    <row r="247" spans="1:8" x14ac:dyDescent="0.35">
      <c r="A247" s="8">
        <v>243</v>
      </c>
      <c r="B247" s="11" t="s">
        <v>20</v>
      </c>
      <c r="C247" s="8">
        <v>0.9</v>
      </c>
      <c r="D247" s="8">
        <v>0.9</v>
      </c>
      <c r="E247" s="8">
        <v>7.1929999999999996</v>
      </c>
      <c r="F247" s="8">
        <v>73.748999999999995</v>
      </c>
      <c r="G247" s="8">
        <v>6.0720000000000001</v>
      </c>
      <c r="H247" s="8"/>
    </row>
    <row r="248" spans="1:8" x14ac:dyDescent="0.35">
      <c r="A248" s="8">
        <v>244</v>
      </c>
      <c r="B248" s="11" t="s">
        <v>6</v>
      </c>
      <c r="C248" s="8">
        <v>0.1</v>
      </c>
      <c r="D248" s="8">
        <v>0.1</v>
      </c>
      <c r="E248" s="8">
        <v>10.157999999999999</v>
      </c>
      <c r="F248" s="8">
        <v>150.68700000000001</v>
      </c>
      <c r="G248" s="8">
        <v>8.9130000000000003</v>
      </c>
      <c r="H248" s="8"/>
    </row>
    <row r="249" spans="1:8" x14ac:dyDescent="0.35">
      <c r="A249" s="8">
        <v>245</v>
      </c>
      <c r="B249" s="11" t="s">
        <v>6</v>
      </c>
      <c r="C249" s="8">
        <v>0.1</v>
      </c>
      <c r="D249" s="8">
        <v>0.2</v>
      </c>
      <c r="E249" s="8">
        <v>11.63</v>
      </c>
      <c r="F249" s="8">
        <v>192.28800000000001</v>
      </c>
      <c r="G249" s="8">
        <v>10.035</v>
      </c>
      <c r="H249" s="8"/>
    </row>
    <row r="250" spans="1:8" x14ac:dyDescent="0.35">
      <c r="A250" s="8">
        <v>246</v>
      </c>
      <c r="B250" s="11" t="s">
        <v>6</v>
      </c>
      <c r="C250" s="8">
        <v>0.1</v>
      </c>
      <c r="D250" s="8">
        <v>0.3</v>
      </c>
      <c r="E250" s="8">
        <v>11.82</v>
      </c>
      <c r="F250" s="8">
        <v>211.76300000000001</v>
      </c>
      <c r="G250" s="8">
        <v>10.076000000000001</v>
      </c>
      <c r="H250" s="8"/>
    </row>
    <row r="251" spans="1:8" x14ac:dyDescent="0.35">
      <c r="A251" s="8">
        <v>247</v>
      </c>
      <c r="B251" s="11" t="s">
        <v>6</v>
      </c>
      <c r="C251" s="8">
        <v>0.1</v>
      </c>
      <c r="D251" s="8">
        <v>0.4</v>
      </c>
      <c r="E251" s="8">
        <v>11.321</v>
      </c>
      <c r="F251" s="8">
        <v>211.928</v>
      </c>
      <c r="G251" s="8">
        <v>9.6050000000000004</v>
      </c>
      <c r="H251" s="8"/>
    </row>
    <row r="252" spans="1:8" x14ac:dyDescent="0.35">
      <c r="A252" s="8">
        <v>248</v>
      </c>
      <c r="B252" s="11" t="s">
        <v>6</v>
      </c>
      <c r="C252" s="8">
        <v>0.1</v>
      </c>
      <c r="D252" s="8">
        <v>0.5</v>
      </c>
      <c r="E252" s="8">
        <v>11.324</v>
      </c>
      <c r="F252" s="8">
        <v>210.36699999999999</v>
      </c>
      <c r="G252" s="8">
        <v>9.625</v>
      </c>
      <c r="H252" s="8"/>
    </row>
    <row r="253" spans="1:8" x14ac:dyDescent="0.35">
      <c r="A253" s="8">
        <v>249</v>
      </c>
      <c r="B253" s="11" t="s">
        <v>6</v>
      </c>
      <c r="C253" s="8">
        <v>0.1</v>
      </c>
      <c r="D253" s="8">
        <v>0.6</v>
      </c>
      <c r="E253" s="8">
        <v>12.291</v>
      </c>
      <c r="F253" s="8">
        <v>246.46899999999999</v>
      </c>
      <c r="G253" s="8">
        <v>10.481</v>
      </c>
      <c r="H253" s="8"/>
    </row>
    <row r="254" spans="1:8" x14ac:dyDescent="0.35">
      <c r="A254" s="8">
        <v>250</v>
      </c>
      <c r="B254" s="11" t="s">
        <v>6</v>
      </c>
      <c r="C254" s="8">
        <v>0.1</v>
      </c>
      <c r="D254" s="8">
        <v>0.7</v>
      </c>
      <c r="E254" s="8">
        <v>13.986000000000001</v>
      </c>
      <c r="F254" s="8">
        <v>268.55599999999998</v>
      </c>
      <c r="G254" s="8">
        <v>11.939</v>
      </c>
      <c r="H254" s="8"/>
    </row>
    <row r="255" spans="1:8" x14ac:dyDescent="0.35">
      <c r="A255" s="8">
        <v>251</v>
      </c>
      <c r="B255" s="11" t="s">
        <v>6</v>
      </c>
      <c r="C255" s="8">
        <v>0.1</v>
      </c>
      <c r="D255" s="8">
        <v>0.8</v>
      </c>
      <c r="E255" s="8">
        <v>13.776</v>
      </c>
      <c r="F255" s="8">
        <v>255.88900000000001</v>
      </c>
      <c r="G255" s="8">
        <v>11.765000000000001</v>
      </c>
      <c r="H255" s="8"/>
    </row>
    <row r="256" spans="1:8" x14ac:dyDescent="0.35">
      <c r="A256" s="8">
        <v>252</v>
      </c>
      <c r="B256" s="11" t="s">
        <v>6</v>
      </c>
      <c r="C256" s="8">
        <v>0.1</v>
      </c>
      <c r="D256" s="8">
        <v>0.9</v>
      </c>
      <c r="E256" s="8">
        <v>12.946999999999999</v>
      </c>
      <c r="F256" s="8">
        <v>237.68199999999999</v>
      </c>
      <c r="G256" s="8">
        <v>11.051</v>
      </c>
      <c r="H256" s="8"/>
    </row>
    <row r="257" spans="1:8" x14ac:dyDescent="0.35">
      <c r="A257" s="8">
        <v>253</v>
      </c>
      <c r="B257" s="11" t="s">
        <v>6</v>
      </c>
      <c r="C257" s="8">
        <v>0.2</v>
      </c>
      <c r="D257" s="8">
        <v>0.1</v>
      </c>
      <c r="E257" s="8">
        <v>8.2810000000000006</v>
      </c>
      <c r="F257" s="8">
        <v>115.075</v>
      </c>
      <c r="G257" s="8">
        <v>7.21</v>
      </c>
      <c r="H257" s="8"/>
    </row>
    <row r="258" spans="1:8" x14ac:dyDescent="0.35">
      <c r="A258" s="8">
        <v>254</v>
      </c>
      <c r="B258" s="11" t="s">
        <v>6</v>
      </c>
      <c r="C258" s="8">
        <v>0.2</v>
      </c>
      <c r="D258" s="8">
        <v>0.2</v>
      </c>
      <c r="E258" s="8">
        <v>8.6620000000000008</v>
      </c>
      <c r="F258" s="8">
        <v>127.236</v>
      </c>
      <c r="G258" s="8">
        <v>7.4340000000000002</v>
      </c>
      <c r="H258" s="8"/>
    </row>
    <row r="259" spans="1:8" x14ac:dyDescent="0.35">
      <c r="A259" s="8">
        <v>255</v>
      </c>
      <c r="B259" s="11" t="s">
        <v>6</v>
      </c>
      <c r="C259" s="8">
        <v>0.2</v>
      </c>
      <c r="D259" s="8">
        <v>0.3</v>
      </c>
      <c r="E259" s="8">
        <v>8.6419999999999995</v>
      </c>
      <c r="F259" s="8">
        <v>133.39599999999999</v>
      </c>
      <c r="G259" s="8">
        <v>7.3860000000000001</v>
      </c>
      <c r="H259" s="8"/>
    </row>
    <row r="260" spans="1:8" x14ac:dyDescent="0.35">
      <c r="A260" s="8">
        <v>256</v>
      </c>
      <c r="B260" s="11" t="s">
        <v>6</v>
      </c>
      <c r="C260" s="8">
        <v>0.2</v>
      </c>
      <c r="D260" s="8">
        <v>0.4</v>
      </c>
      <c r="E260" s="8">
        <v>8.8119999999999994</v>
      </c>
      <c r="F260" s="8">
        <v>135.72</v>
      </c>
      <c r="G260" s="8">
        <v>7.5279999999999996</v>
      </c>
      <c r="H260" s="8"/>
    </row>
    <row r="261" spans="1:8" x14ac:dyDescent="0.35">
      <c r="A261" s="8">
        <v>257</v>
      </c>
      <c r="B261" s="11" t="s">
        <v>6</v>
      </c>
      <c r="C261" s="8">
        <v>0.2</v>
      </c>
      <c r="D261" s="8">
        <v>0.5</v>
      </c>
      <c r="E261" s="8">
        <v>8.9770000000000003</v>
      </c>
      <c r="F261" s="8">
        <v>132.61699999999999</v>
      </c>
      <c r="G261" s="8">
        <v>7.6769999999999996</v>
      </c>
      <c r="H261" s="8"/>
    </row>
    <row r="262" spans="1:8" x14ac:dyDescent="0.35">
      <c r="A262" s="8">
        <v>258</v>
      </c>
      <c r="B262" s="11" t="s">
        <v>6</v>
      </c>
      <c r="C262" s="8">
        <v>0.2</v>
      </c>
      <c r="D262" s="8">
        <v>0.6</v>
      </c>
      <c r="E262" s="8">
        <v>9.1210000000000004</v>
      </c>
      <c r="F262" s="8">
        <v>127.12</v>
      </c>
      <c r="G262" s="8">
        <v>7.8049999999999997</v>
      </c>
      <c r="H262" s="8"/>
    </row>
    <row r="263" spans="1:8" x14ac:dyDescent="0.35">
      <c r="A263" s="8">
        <v>259</v>
      </c>
      <c r="B263" s="11" t="s">
        <v>6</v>
      </c>
      <c r="C263" s="8">
        <v>0.2</v>
      </c>
      <c r="D263" s="8">
        <v>0.7</v>
      </c>
      <c r="E263" s="8">
        <v>9.0280000000000005</v>
      </c>
      <c r="F263" s="8">
        <v>122.988</v>
      </c>
      <c r="G263" s="8">
        <v>7.7270000000000003</v>
      </c>
      <c r="H263" s="8"/>
    </row>
    <row r="264" spans="1:8" x14ac:dyDescent="0.35">
      <c r="A264" s="8">
        <v>260</v>
      </c>
      <c r="B264" s="11" t="s">
        <v>6</v>
      </c>
      <c r="C264" s="8">
        <v>0.2</v>
      </c>
      <c r="D264" s="8">
        <v>0.8</v>
      </c>
      <c r="E264" s="8">
        <v>9.0739999999999998</v>
      </c>
      <c r="F264" s="8">
        <v>122.89100000000001</v>
      </c>
      <c r="G264" s="8">
        <v>7.7640000000000002</v>
      </c>
      <c r="H264" s="8"/>
    </row>
    <row r="265" spans="1:8" x14ac:dyDescent="0.35">
      <c r="A265" s="8">
        <v>261</v>
      </c>
      <c r="B265" s="11" t="s">
        <v>6</v>
      </c>
      <c r="C265" s="8">
        <v>0.2</v>
      </c>
      <c r="D265" s="8">
        <v>0.9</v>
      </c>
      <c r="E265" s="8">
        <v>9.4060000000000006</v>
      </c>
      <c r="F265" s="8">
        <v>127.375</v>
      </c>
      <c r="G265" s="8">
        <v>8.0449999999999999</v>
      </c>
      <c r="H265" s="8"/>
    </row>
    <row r="266" spans="1:8" x14ac:dyDescent="0.35">
      <c r="A266" s="8">
        <v>262</v>
      </c>
      <c r="B266" s="11" t="s">
        <v>6</v>
      </c>
      <c r="C266" s="8">
        <v>0.3</v>
      </c>
      <c r="D266" s="8">
        <v>0.1</v>
      </c>
      <c r="E266" s="8">
        <v>7.7050000000000001</v>
      </c>
      <c r="F266" s="8">
        <v>97.638999999999996</v>
      </c>
      <c r="G266" s="8">
        <v>6.6630000000000003</v>
      </c>
      <c r="H266" s="8"/>
    </row>
    <row r="267" spans="1:8" x14ac:dyDescent="0.35">
      <c r="A267" s="8">
        <v>263</v>
      </c>
      <c r="B267" s="11" t="s">
        <v>6</v>
      </c>
      <c r="C267" s="8">
        <v>0.3</v>
      </c>
      <c r="D267" s="8">
        <v>0.2</v>
      </c>
      <c r="E267" s="8">
        <v>7.65</v>
      </c>
      <c r="F267" s="8">
        <v>104.044</v>
      </c>
      <c r="G267" s="8">
        <v>6.5659999999999998</v>
      </c>
      <c r="H267" s="8"/>
    </row>
    <row r="268" spans="1:8" x14ac:dyDescent="0.35">
      <c r="A268" s="8">
        <v>264</v>
      </c>
      <c r="B268" s="11" t="s">
        <v>6</v>
      </c>
      <c r="C268" s="8">
        <v>0.3</v>
      </c>
      <c r="D268" s="8">
        <v>0.3</v>
      </c>
      <c r="E268" s="8">
        <v>7.9809999999999999</v>
      </c>
      <c r="F268" s="8">
        <v>107.535</v>
      </c>
      <c r="G268" s="8">
        <v>6.8339999999999996</v>
      </c>
      <c r="H268" s="8"/>
    </row>
    <row r="269" spans="1:8" x14ac:dyDescent="0.35">
      <c r="A269" s="8">
        <v>265</v>
      </c>
      <c r="B269" s="11" t="s">
        <v>6</v>
      </c>
      <c r="C269" s="8">
        <v>0.3</v>
      </c>
      <c r="D269" s="8">
        <v>0.4</v>
      </c>
      <c r="E269" s="8">
        <v>8.4320000000000004</v>
      </c>
      <c r="F269" s="8">
        <v>109.741</v>
      </c>
      <c r="G269" s="8">
        <v>7.2169999999999996</v>
      </c>
      <c r="H269" s="8"/>
    </row>
    <row r="270" spans="1:8" x14ac:dyDescent="0.35">
      <c r="A270" s="8">
        <v>266</v>
      </c>
      <c r="B270" s="11" t="s">
        <v>6</v>
      </c>
      <c r="C270" s="8">
        <v>0.3</v>
      </c>
      <c r="D270" s="8">
        <v>0.5</v>
      </c>
      <c r="E270" s="8">
        <v>8.8580000000000005</v>
      </c>
      <c r="F270" s="8">
        <v>113.09699999999999</v>
      </c>
      <c r="G270" s="8">
        <v>7.5780000000000003</v>
      </c>
      <c r="H270" s="8"/>
    </row>
    <row r="271" spans="1:8" x14ac:dyDescent="0.35">
      <c r="A271" s="8">
        <v>267</v>
      </c>
      <c r="B271" s="11" t="s">
        <v>6</v>
      </c>
      <c r="C271" s="8">
        <v>0.3</v>
      </c>
      <c r="D271" s="8">
        <v>0.6</v>
      </c>
      <c r="E271" s="8">
        <v>9.3249999999999993</v>
      </c>
      <c r="F271" s="8">
        <v>119.066</v>
      </c>
      <c r="G271" s="8">
        <v>7.9729999999999999</v>
      </c>
      <c r="H271" s="8"/>
    </row>
    <row r="272" spans="1:8" x14ac:dyDescent="0.35">
      <c r="A272" s="8">
        <v>268</v>
      </c>
      <c r="B272" s="11" t="s">
        <v>6</v>
      </c>
      <c r="C272" s="8">
        <v>0.3</v>
      </c>
      <c r="D272" s="8">
        <v>0.7</v>
      </c>
      <c r="E272" s="8">
        <v>9.7629999999999999</v>
      </c>
      <c r="F272" s="8">
        <v>127.55200000000001</v>
      </c>
      <c r="G272" s="8">
        <v>8.343</v>
      </c>
      <c r="H272" s="8"/>
    </row>
    <row r="273" spans="1:8" x14ac:dyDescent="0.35">
      <c r="A273" s="8">
        <v>269</v>
      </c>
      <c r="B273" s="11" t="s">
        <v>6</v>
      </c>
      <c r="C273" s="8">
        <v>0.3</v>
      </c>
      <c r="D273" s="8">
        <v>0.8</v>
      </c>
      <c r="E273" s="8">
        <v>10.157999999999999</v>
      </c>
      <c r="F273" s="8">
        <v>137.69300000000001</v>
      </c>
      <c r="G273" s="8">
        <v>8.6750000000000007</v>
      </c>
      <c r="H273" s="8"/>
    </row>
    <row r="274" spans="1:8" x14ac:dyDescent="0.35">
      <c r="A274" s="8">
        <v>270</v>
      </c>
      <c r="B274" s="11" t="s">
        <v>6</v>
      </c>
      <c r="C274" s="8">
        <v>0.3</v>
      </c>
      <c r="D274" s="8">
        <v>0.9</v>
      </c>
      <c r="E274" s="8">
        <v>10.483000000000001</v>
      </c>
      <c r="F274" s="8">
        <v>148.738</v>
      </c>
      <c r="G274" s="8">
        <v>8.9469999999999992</v>
      </c>
      <c r="H274" s="8"/>
    </row>
    <row r="275" spans="1:8" x14ac:dyDescent="0.35">
      <c r="A275" s="29">
        <v>271</v>
      </c>
      <c r="B275" s="30" t="s">
        <v>6</v>
      </c>
      <c r="C275" s="29">
        <v>0.4</v>
      </c>
      <c r="D275" s="29">
        <v>0.1</v>
      </c>
      <c r="E275" s="29">
        <v>7.3739999999999997</v>
      </c>
      <c r="F275" s="29">
        <v>90.097999999999999</v>
      </c>
      <c r="G275" s="29">
        <v>6.359</v>
      </c>
      <c r="H275" s="29" t="s">
        <v>218</v>
      </c>
    </row>
    <row r="276" spans="1:8" x14ac:dyDescent="0.35">
      <c r="A276" s="8">
        <v>272</v>
      </c>
      <c r="B276" s="11" t="s">
        <v>6</v>
      </c>
      <c r="C276" s="8">
        <v>0.4</v>
      </c>
      <c r="D276" s="8">
        <v>0.2</v>
      </c>
      <c r="E276" s="8">
        <v>7.7089999999999996</v>
      </c>
      <c r="F276" s="8">
        <v>95.8</v>
      </c>
      <c r="G276" s="8">
        <v>6.6139999999999999</v>
      </c>
      <c r="H276" s="8"/>
    </row>
    <row r="277" spans="1:8" x14ac:dyDescent="0.35">
      <c r="A277" s="8">
        <v>273</v>
      </c>
      <c r="B277" s="11" t="s">
        <v>6</v>
      </c>
      <c r="C277" s="8">
        <v>0.4</v>
      </c>
      <c r="D277" s="8">
        <v>0.3</v>
      </c>
      <c r="E277" s="8">
        <v>8.2240000000000002</v>
      </c>
      <c r="F277" s="8">
        <v>100.908</v>
      </c>
      <c r="G277" s="8">
        <v>7.0430000000000001</v>
      </c>
      <c r="H277" s="8"/>
    </row>
    <row r="278" spans="1:8" x14ac:dyDescent="0.35">
      <c r="A278" s="8">
        <v>274</v>
      </c>
      <c r="B278" s="11" t="s">
        <v>6</v>
      </c>
      <c r="C278" s="8">
        <v>0.4</v>
      </c>
      <c r="D278" s="8">
        <v>0.4</v>
      </c>
      <c r="E278" s="8">
        <v>8.7149999999999999</v>
      </c>
      <c r="F278" s="8">
        <v>106.752</v>
      </c>
      <c r="G278" s="8">
        <v>7.4569999999999999</v>
      </c>
      <c r="H278" s="8"/>
    </row>
    <row r="279" spans="1:8" x14ac:dyDescent="0.35">
      <c r="A279" s="8">
        <v>275</v>
      </c>
      <c r="B279" s="11" t="s">
        <v>6</v>
      </c>
      <c r="C279" s="8">
        <v>0.4</v>
      </c>
      <c r="D279" s="8">
        <v>0.5</v>
      </c>
      <c r="E279" s="8">
        <v>9.1150000000000002</v>
      </c>
      <c r="F279" s="8">
        <v>114.07299999999999</v>
      </c>
      <c r="G279" s="8">
        <v>7.7949999999999999</v>
      </c>
      <c r="H279" s="8"/>
    </row>
    <row r="280" spans="1:8" x14ac:dyDescent="0.35">
      <c r="A280" s="8">
        <v>276</v>
      </c>
      <c r="B280" s="11" t="s">
        <v>6</v>
      </c>
      <c r="C280" s="8">
        <v>0.4</v>
      </c>
      <c r="D280" s="8">
        <v>0.6</v>
      </c>
      <c r="E280" s="8">
        <v>9.4039999999999999</v>
      </c>
      <c r="F280" s="8">
        <v>122.637</v>
      </c>
      <c r="G280" s="8">
        <v>8.0389999999999997</v>
      </c>
      <c r="H280" s="8"/>
    </row>
    <row r="281" spans="1:8" x14ac:dyDescent="0.35">
      <c r="A281" s="8">
        <v>277</v>
      </c>
      <c r="B281" s="11" t="s">
        <v>6</v>
      </c>
      <c r="C281" s="8">
        <v>0.4</v>
      </c>
      <c r="D281" s="8">
        <v>0.7</v>
      </c>
      <c r="E281" s="8">
        <v>9.7449999999999992</v>
      </c>
      <c r="F281" s="8">
        <v>131.86199999999999</v>
      </c>
      <c r="G281" s="8">
        <v>8.3330000000000002</v>
      </c>
      <c r="H281" s="8"/>
    </row>
    <row r="282" spans="1:8" x14ac:dyDescent="0.35">
      <c r="A282" s="8">
        <v>278</v>
      </c>
      <c r="B282" s="11" t="s">
        <v>6</v>
      </c>
      <c r="C282" s="8">
        <v>0.4</v>
      </c>
      <c r="D282" s="8">
        <v>0.8</v>
      </c>
      <c r="E282" s="8">
        <v>10.111000000000001</v>
      </c>
      <c r="F282" s="8">
        <v>141.22200000000001</v>
      </c>
      <c r="G282" s="8">
        <v>8.6560000000000006</v>
      </c>
      <c r="H282" s="8"/>
    </row>
    <row r="283" spans="1:8" x14ac:dyDescent="0.35">
      <c r="A283" s="8">
        <v>279</v>
      </c>
      <c r="B283" s="11" t="s">
        <v>6</v>
      </c>
      <c r="C283" s="8">
        <v>0.4</v>
      </c>
      <c r="D283" s="8">
        <v>0.9</v>
      </c>
      <c r="E283" s="8">
        <v>10.369</v>
      </c>
      <c r="F283" s="8">
        <v>150.22</v>
      </c>
      <c r="G283" s="8">
        <v>8.8889999999999993</v>
      </c>
      <c r="H283" s="8"/>
    </row>
    <row r="284" spans="1:8" x14ac:dyDescent="0.35">
      <c r="A284" s="8">
        <v>280</v>
      </c>
      <c r="B284" s="11" t="s">
        <v>6</v>
      </c>
      <c r="C284" s="8">
        <v>0.5</v>
      </c>
      <c r="D284" s="8">
        <v>0.1</v>
      </c>
      <c r="E284" s="8">
        <v>7.4530000000000003</v>
      </c>
      <c r="F284" s="8">
        <v>86.738</v>
      </c>
      <c r="G284" s="8">
        <v>6.4139999999999997</v>
      </c>
      <c r="H284" s="8"/>
    </row>
    <row r="285" spans="1:8" x14ac:dyDescent="0.35">
      <c r="A285" s="8">
        <v>281</v>
      </c>
      <c r="B285" s="11" t="s">
        <v>6</v>
      </c>
      <c r="C285" s="8">
        <v>0.5</v>
      </c>
      <c r="D285" s="8">
        <v>0.2</v>
      </c>
      <c r="E285" s="8">
        <v>7.9039999999999999</v>
      </c>
      <c r="F285" s="8">
        <v>92.807000000000002</v>
      </c>
      <c r="G285" s="8">
        <v>6.7759999999999998</v>
      </c>
      <c r="H285" s="8"/>
    </row>
    <row r="286" spans="1:8" x14ac:dyDescent="0.35">
      <c r="A286" s="8">
        <v>282</v>
      </c>
      <c r="B286" s="11" t="s">
        <v>6</v>
      </c>
      <c r="C286" s="8">
        <v>0.5</v>
      </c>
      <c r="D286" s="8">
        <v>0.3</v>
      </c>
      <c r="E286" s="8">
        <v>8.33</v>
      </c>
      <c r="F286" s="8">
        <v>99.125</v>
      </c>
      <c r="G286" s="8">
        <v>7.1310000000000002</v>
      </c>
      <c r="H286" s="8"/>
    </row>
    <row r="287" spans="1:8" x14ac:dyDescent="0.35">
      <c r="A287" s="8">
        <v>283</v>
      </c>
      <c r="B287" s="11" t="s">
        <v>6</v>
      </c>
      <c r="C287" s="8">
        <v>0.5</v>
      </c>
      <c r="D287" s="8">
        <v>0.4</v>
      </c>
      <c r="E287" s="8">
        <v>8.7010000000000005</v>
      </c>
      <c r="F287" s="8">
        <v>106.139</v>
      </c>
      <c r="G287" s="8">
        <v>7.4450000000000003</v>
      </c>
      <c r="H287" s="8"/>
    </row>
    <row r="288" spans="1:8" x14ac:dyDescent="0.35">
      <c r="A288" s="8">
        <v>284</v>
      </c>
      <c r="B288" s="11" t="s">
        <v>6</v>
      </c>
      <c r="C288" s="8">
        <v>0.5</v>
      </c>
      <c r="D288" s="8">
        <v>0.5</v>
      </c>
      <c r="E288" s="8">
        <v>9.1739999999999995</v>
      </c>
      <c r="F288" s="8">
        <v>113.77800000000001</v>
      </c>
      <c r="G288" s="8">
        <v>7.8570000000000002</v>
      </c>
      <c r="H288" s="8"/>
    </row>
    <row r="289" spans="1:8" x14ac:dyDescent="0.35">
      <c r="A289" s="8">
        <v>285</v>
      </c>
      <c r="B289" s="11" t="s">
        <v>6</v>
      </c>
      <c r="C289" s="8">
        <v>0.5</v>
      </c>
      <c r="D289" s="8">
        <v>0.6</v>
      </c>
      <c r="E289" s="8">
        <v>9.5259999999999998</v>
      </c>
      <c r="F289" s="8">
        <v>121.60299999999999</v>
      </c>
      <c r="G289" s="8">
        <v>8.1690000000000005</v>
      </c>
      <c r="H289" s="8"/>
    </row>
    <row r="290" spans="1:8" x14ac:dyDescent="0.35">
      <c r="A290" s="8">
        <v>286</v>
      </c>
      <c r="B290" s="11" t="s">
        <v>6</v>
      </c>
      <c r="C290" s="8">
        <v>0.5</v>
      </c>
      <c r="D290" s="8">
        <v>0.7</v>
      </c>
      <c r="E290" s="8">
        <v>9.7469999999999999</v>
      </c>
      <c r="F290" s="8">
        <v>129.149</v>
      </c>
      <c r="G290" s="8">
        <v>8.3710000000000004</v>
      </c>
      <c r="H290" s="8"/>
    </row>
    <row r="291" spans="1:8" x14ac:dyDescent="0.35">
      <c r="A291" s="8">
        <v>287</v>
      </c>
      <c r="B291" s="11" t="s">
        <v>6</v>
      </c>
      <c r="C291" s="8">
        <v>0.5</v>
      </c>
      <c r="D291" s="8">
        <v>0.8</v>
      </c>
      <c r="E291" s="8">
        <v>9.9420000000000002</v>
      </c>
      <c r="F291" s="8">
        <v>136.05000000000001</v>
      </c>
      <c r="G291" s="8">
        <v>8.5459999999999994</v>
      </c>
      <c r="H291" s="8"/>
    </row>
    <row r="292" spans="1:8" x14ac:dyDescent="0.35">
      <c r="A292" s="8">
        <v>288</v>
      </c>
      <c r="B292" s="11" t="s">
        <v>6</v>
      </c>
      <c r="C292" s="8">
        <v>0.5</v>
      </c>
      <c r="D292" s="8">
        <v>0.9</v>
      </c>
      <c r="E292" s="8">
        <v>10.1</v>
      </c>
      <c r="F292" s="8">
        <v>142.11099999999999</v>
      </c>
      <c r="G292" s="8">
        <v>8.6859999999999999</v>
      </c>
      <c r="H292" s="8"/>
    </row>
    <row r="293" spans="1:8" x14ac:dyDescent="0.35">
      <c r="A293" s="8">
        <v>289</v>
      </c>
      <c r="B293" s="11" t="s">
        <v>6</v>
      </c>
      <c r="C293" s="8">
        <v>0.6</v>
      </c>
      <c r="D293" s="8">
        <v>0.1</v>
      </c>
      <c r="E293" s="8">
        <v>7.46</v>
      </c>
      <c r="F293" s="8">
        <v>85.334000000000003</v>
      </c>
      <c r="G293" s="8">
        <v>6.4109999999999996</v>
      </c>
      <c r="H293" s="8"/>
    </row>
    <row r="294" spans="1:8" x14ac:dyDescent="0.35">
      <c r="A294" s="8">
        <v>290</v>
      </c>
      <c r="B294" s="11" t="s">
        <v>6</v>
      </c>
      <c r="C294" s="8">
        <v>0.6</v>
      </c>
      <c r="D294" s="8">
        <v>0.2</v>
      </c>
      <c r="E294" s="8">
        <v>7.8869999999999996</v>
      </c>
      <c r="F294" s="8">
        <v>91.72</v>
      </c>
      <c r="G294" s="8">
        <v>6.7590000000000003</v>
      </c>
      <c r="H294" s="8"/>
    </row>
    <row r="295" spans="1:8" x14ac:dyDescent="0.35">
      <c r="A295" s="8">
        <v>291</v>
      </c>
      <c r="B295" s="11" t="s">
        <v>6</v>
      </c>
      <c r="C295" s="8">
        <v>0.6</v>
      </c>
      <c r="D295" s="8">
        <v>0.3</v>
      </c>
      <c r="E295" s="8">
        <v>8.3889999999999993</v>
      </c>
      <c r="F295" s="8">
        <v>98.459000000000003</v>
      </c>
      <c r="G295" s="8">
        <v>7.1890000000000001</v>
      </c>
      <c r="H295" s="8"/>
    </row>
    <row r="296" spans="1:8" x14ac:dyDescent="0.35">
      <c r="A296" s="8">
        <v>292</v>
      </c>
      <c r="B296" s="11" t="s">
        <v>6</v>
      </c>
      <c r="C296" s="8">
        <v>0.6</v>
      </c>
      <c r="D296" s="8">
        <v>0.4</v>
      </c>
      <c r="E296" s="8">
        <v>8.8330000000000002</v>
      </c>
      <c r="F296" s="8">
        <v>105.524</v>
      </c>
      <c r="G296" s="8">
        <v>7.577</v>
      </c>
      <c r="H296" s="8"/>
    </row>
    <row r="297" spans="1:8" x14ac:dyDescent="0.35">
      <c r="A297" s="8">
        <v>293</v>
      </c>
      <c r="B297" s="11" t="s">
        <v>6</v>
      </c>
      <c r="C297" s="8">
        <v>0.6</v>
      </c>
      <c r="D297" s="8">
        <v>0.5</v>
      </c>
      <c r="E297" s="8">
        <v>9.1329999999999991</v>
      </c>
      <c r="F297" s="8">
        <v>112.682</v>
      </c>
      <c r="G297" s="8">
        <v>7.843</v>
      </c>
      <c r="H297" s="8"/>
    </row>
    <row r="298" spans="1:8" x14ac:dyDescent="0.35">
      <c r="A298" s="8">
        <v>294</v>
      </c>
      <c r="B298" s="11" t="s">
        <v>6</v>
      </c>
      <c r="C298" s="8">
        <v>0.6</v>
      </c>
      <c r="D298" s="8">
        <v>0.6</v>
      </c>
      <c r="E298" s="8">
        <v>9.35</v>
      </c>
      <c r="F298" s="8">
        <v>119.628</v>
      </c>
      <c r="G298" s="8">
        <v>8.0380000000000003</v>
      </c>
      <c r="H298" s="8"/>
    </row>
    <row r="299" spans="1:8" x14ac:dyDescent="0.35">
      <c r="A299" s="8">
        <v>295</v>
      </c>
      <c r="B299" s="11" t="s">
        <v>6</v>
      </c>
      <c r="C299" s="8">
        <v>0.6</v>
      </c>
      <c r="D299" s="8">
        <v>0.7</v>
      </c>
      <c r="E299" s="8">
        <v>9.6630000000000003</v>
      </c>
      <c r="F299" s="8">
        <v>126.166</v>
      </c>
      <c r="G299" s="8">
        <v>8.3049999999999997</v>
      </c>
      <c r="H299" s="8"/>
    </row>
    <row r="300" spans="1:8" x14ac:dyDescent="0.35">
      <c r="A300" s="8">
        <v>296</v>
      </c>
      <c r="B300" s="11" t="s">
        <v>6</v>
      </c>
      <c r="C300" s="8">
        <v>0.6</v>
      </c>
      <c r="D300" s="8">
        <v>0.8</v>
      </c>
      <c r="E300" s="8">
        <v>9.8689999999999998</v>
      </c>
      <c r="F300" s="8">
        <v>132.25800000000001</v>
      </c>
      <c r="G300" s="8">
        <v>8.48</v>
      </c>
      <c r="H300" s="8"/>
    </row>
    <row r="301" spans="1:8" x14ac:dyDescent="0.35">
      <c r="A301" s="8">
        <v>297</v>
      </c>
      <c r="B301" s="11" t="s">
        <v>6</v>
      </c>
      <c r="C301" s="8">
        <v>0.6</v>
      </c>
      <c r="D301" s="8">
        <v>0.9</v>
      </c>
      <c r="E301" s="8">
        <v>9.98</v>
      </c>
      <c r="F301" s="8">
        <v>137.99</v>
      </c>
      <c r="G301" s="8">
        <v>8.5739999999999998</v>
      </c>
      <c r="H301" s="8"/>
    </row>
    <row r="302" spans="1:8" x14ac:dyDescent="0.35">
      <c r="A302" s="8">
        <v>298</v>
      </c>
      <c r="B302" s="11" t="s">
        <v>6</v>
      </c>
      <c r="C302" s="8">
        <v>0.7</v>
      </c>
      <c r="D302" s="8">
        <v>0.1</v>
      </c>
      <c r="E302" s="8">
        <v>7.407</v>
      </c>
      <c r="F302" s="8">
        <v>85.122</v>
      </c>
      <c r="G302" s="8">
        <v>6.3609999999999998</v>
      </c>
      <c r="H302" s="8"/>
    </row>
    <row r="303" spans="1:8" x14ac:dyDescent="0.35">
      <c r="A303" s="8">
        <v>299</v>
      </c>
      <c r="B303" s="11" t="s">
        <v>6</v>
      </c>
      <c r="C303" s="8">
        <v>0.7</v>
      </c>
      <c r="D303" s="8">
        <v>0.2</v>
      </c>
      <c r="E303" s="8">
        <v>7.9569999999999999</v>
      </c>
      <c r="F303" s="8">
        <v>91.736999999999995</v>
      </c>
      <c r="G303" s="8">
        <v>6.8250000000000002</v>
      </c>
      <c r="H303" s="8"/>
    </row>
    <row r="304" spans="1:8" x14ac:dyDescent="0.35">
      <c r="A304" s="8">
        <v>300</v>
      </c>
      <c r="B304" s="11" t="s">
        <v>6</v>
      </c>
      <c r="C304" s="8">
        <v>0.7</v>
      </c>
      <c r="D304" s="8">
        <v>0.3</v>
      </c>
      <c r="E304" s="8">
        <v>8.4659999999999993</v>
      </c>
      <c r="F304" s="8">
        <v>98.635999999999996</v>
      </c>
      <c r="G304" s="8">
        <v>7.2640000000000002</v>
      </c>
      <c r="H304" s="8"/>
    </row>
    <row r="305" spans="1:8" x14ac:dyDescent="0.35">
      <c r="A305" s="8">
        <v>301</v>
      </c>
      <c r="B305" s="11" t="s">
        <v>6</v>
      </c>
      <c r="C305" s="8">
        <v>0.7</v>
      </c>
      <c r="D305" s="8">
        <v>0.4</v>
      </c>
      <c r="E305" s="8">
        <v>8.8490000000000002</v>
      </c>
      <c r="F305" s="8">
        <v>105.64</v>
      </c>
      <c r="G305" s="8">
        <v>7.5960000000000001</v>
      </c>
      <c r="H305" s="8"/>
    </row>
    <row r="306" spans="1:8" x14ac:dyDescent="0.35">
      <c r="A306" s="8">
        <v>302</v>
      </c>
      <c r="B306" s="11" t="s">
        <v>6</v>
      </c>
      <c r="C306" s="8">
        <v>0.7</v>
      </c>
      <c r="D306" s="8">
        <v>0.5</v>
      </c>
      <c r="E306" s="8">
        <v>9.1720000000000006</v>
      </c>
      <c r="F306" s="8">
        <v>112.569</v>
      </c>
      <c r="G306" s="8">
        <v>7.875</v>
      </c>
      <c r="H306" s="8"/>
    </row>
    <row r="307" spans="1:8" x14ac:dyDescent="0.35">
      <c r="A307" s="8">
        <v>303</v>
      </c>
      <c r="B307" s="11" t="s">
        <v>6</v>
      </c>
      <c r="C307" s="8">
        <v>0.7</v>
      </c>
      <c r="D307" s="8">
        <v>0.6</v>
      </c>
      <c r="E307" s="8">
        <v>9.4619999999999997</v>
      </c>
      <c r="F307" s="8">
        <v>119.277</v>
      </c>
      <c r="G307" s="8">
        <v>8.1210000000000004</v>
      </c>
      <c r="H307" s="8"/>
    </row>
    <row r="308" spans="1:8" x14ac:dyDescent="0.35">
      <c r="A308" s="8">
        <v>304</v>
      </c>
      <c r="B308" s="11" t="s">
        <v>6</v>
      </c>
      <c r="C308" s="8">
        <v>0.7</v>
      </c>
      <c r="D308" s="8">
        <v>0.7</v>
      </c>
      <c r="E308" s="8">
        <v>9.6430000000000007</v>
      </c>
      <c r="F308" s="8">
        <v>125.71</v>
      </c>
      <c r="G308" s="8">
        <v>8.2720000000000002</v>
      </c>
      <c r="H308" s="8"/>
    </row>
    <row r="309" spans="1:8" x14ac:dyDescent="0.35">
      <c r="A309" s="8">
        <v>305</v>
      </c>
      <c r="B309" s="11" t="s">
        <v>6</v>
      </c>
      <c r="C309" s="8">
        <v>0.7</v>
      </c>
      <c r="D309" s="8">
        <v>0.8</v>
      </c>
      <c r="E309" s="8">
        <v>9.7309999999999999</v>
      </c>
      <c r="F309" s="8">
        <v>131.86799999999999</v>
      </c>
      <c r="G309" s="8">
        <v>8.3439999999999994</v>
      </c>
      <c r="H309" s="8"/>
    </row>
    <row r="310" spans="1:8" x14ac:dyDescent="0.35">
      <c r="A310" s="8">
        <v>306</v>
      </c>
      <c r="B310" s="11" t="s">
        <v>6</v>
      </c>
      <c r="C310" s="8">
        <v>0.7</v>
      </c>
      <c r="D310" s="8">
        <v>0.9</v>
      </c>
      <c r="E310" s="8">
        <v>9.8510000000000009</v>
      </c>
      <c r="F310" s="8">
        <v>137.756</v>
      </c>
      <c r="G310" s="8">
        <v>8.4440000000000008</v>
      </c>
      <c r="H310" s="8"/>
    </row>
    <row r="311" spans="1:8" x14ac:dyDescent="0.35">
      <c r="A311" s="8">
        <v>307</v>
      </c>
      <c r="B311" s="11" t="s">
        <v>6</v>
      </c>
      <c r="C311" s="8">
        <v>0.8</v>
      </c>
      <c r="D311" s="8">
        <v>0.1</v>
      </c>
      <c r="E311" s="8">
        <v>7.5640000000000001</v>
      </c>
      <c r="F311" s="8">
        <v>85.875</v>
      </c>
      <c r="G311" s="8">
        <v>6.4909999999999997</v>
      </c>
      <c r="H311" s="8"/>
    </row>
    <row r="312" spans="1:8" x14ac:dyDescent="0.35">
      <c r="A312" s="8">
        <v>308</v>
      </c>
      <c r="B312" s="11" t="s">
        <v>6</v>
      </c>
      <c r="C312" s="8">
        <v>0.8</v>
      </c>
      <c r="D312" s="8">
        <v>0.2</v>
      </c>
      <c r="E312" s="8">
        <v>8.141</v>
      </c>
      <c r="F312" s="8">
        <v>92.756</v>
      </c>
      <c r="G312" s="8">
        <v>6.9790000000000001</v>
      </c>
      <c r="H312" s="8"/>
    </row>
    <row r="313" spans="1:8" x14ac:dyDescent="0.35">
      <c r="A313" s="8">
        <v>309</v>
      </c>
      <c r="B313" s="11" t="s">
        <v>6</v>
      </c>
      <c r="C313" s="8">
        <v>0.8</v>
      </c>
      <c r="D313" s="8">
        <v>0.3</v>
      </c>
      <c r="E313" s="8">
        <v>8.5850000000000009</v>
      </c>
      <c r="F313" s="8">
        <v>99.873999999999995</v>
      </c>
      <c r="G313" s="8">
        <v>7.36</v>
      </c>
      <c r="H313" s="8"/>
    </row>
    <row r="314" spans="1:8" x14ac:dyDescent="0.35">
      <c r="A314" s="8">
        <v>310</v>
      </c>
      <c r="B314" s="11" t="s">
        <v>6</v>
      </c>
      <c r="C314" s="8">
        <v>0.8</v>
      </c>
      <c r="D314" s="8">
        <v>0.4</v>
      </c>
      <c r="E314" s="8">
        <v>8.9459999999999997</v>
      </c>
      <c r="F314" s="8">
        <v>107.03100000000001</v>
      </c>
      <c r="G314" s="8">
        <v>7.6680000000000001</v>
      </c>
      <c r="H314" s="8"/>
    </row>
    <row r="315" spans="1:8" x14ac:dyDescent="0.35">
      <c r="A315" s="8">
        <v>311</v>
      </c>
      <c r="B315" s="11" t="s">
        <v>6</v>
      </c>
      <c r="C315" s="8">
        <v>0.8</v>
      </c>
      <c r="D315" s="8">
        <v>0.5</v>
      </c>
      <c r="E315" s="8">
        <v>9.2490000000000006</v>
      </c>
      <c r="F315" s="8">
        <v>114.117</v>
      </c>
      <c r="G315" s="8">
        <v>7.923</v>
      </c>
      <c r="H315" s="8"/>
    </row>
    <row r="316" spans="1:8" x14ac:dyDescent="0.35">
      <c r="A316" s="8">
        <v>312</v>
      </c>
      <c r="B316" s="11" t="s">
        <v>6</v>
      </c>
      <c r="C316" s="8">
        <v>0.8</v>
      </c>
      <c r="D316" s="8">
        <v>0.6</v>
      </c>
      <c r="E316" s="8">
        <v>9.44</v>
      </c>
      <c r="F316" s="8">
        <v>121.06399999999999</v>
      </c>
      <c r="G316" s="8">
        <v>8.0809999999999995</v>
      </c>
      <c r="H316" s="8"/>
    </row>
    <row r="317" spans="1:8" x14ac:dyDescent="0.35">
      <c r="A317" s="8">
        <v>313</v>
      </c>
      <c r="B317" s="11" t="s">
        <v>6</v>
      </c>
      <c r="C317" s="8">
        <v>0.8</v>
      </c>
      <c r="D317" s="8">
        <v>0.7</v>
      </c>
      <c r="E317" s="8">
        <v>9.6349999999999998</v>
      </c>
      <c r="F317" s="8">
        <v>127.855</v>
      </c>
      <c r="G317" s="8">
        <v>8.2409999999999997</v>
      </c>
      <c r="H317" s="8"/>
    </row>
    <row r="318" spans="1:8" x14ac:dyDescent="0.35">
      <c r="A318" s="8">
        <v>314</v>
      </c>
      <c r="B318" s="11" t="s">
        <v>6</v>
      </c>
      <c r="C318" s="8">
        <v>0.8</v>
      </c>
      <c r="D318" s="8">
        <v>0.8</v>
      </c>
      <c r="E318" s="8">
        <v>9.8879999999999999</v>
      </c>
      <c r="F318" s="8">
        <v>134.50800000000001</v>
      </c>
      <c r="G318" s="8">
        <v>8.4469999999999992</v>
      </c>
      <c r="H318" s="8"/>
    </row>
    <row r="319" spans="1:8" x14ac:dyDescent="0.35">
      <c r="A319" s="8">
        <v>315</v>
      </c>
      <c r="B319" s="11" t="s">
        <v>6</v>
      </c>
      <c r="C319" s="8">
        <v>0.8</v>
      </c>
      <c r="D319" s="8">
        <v>0.9</v>
      </c>
      <c r="E319" s="8">
        <v>10.122999999999999</v>
      </c>
      <c r="F319" s="8">
        <v>141.083</v>
      </c>
      <c r="G319" s="8">
        <v>8.6349999999999998</v>
      </c>
      <c r="H319" s="8"/>
    </row>
    <row r="320" spans="1:8" x14ac:dyDescent="0.35">
      <c r="A320" s="8">
        <v>316</v>
      </c>
      <c r="B320" s="11" t="s">
        <v>6</v>
      </c>
      <c r="C320" s="8">
        <v>0.9</v>
      </c>
      <c r="D320" s="8">
        <v>0.1</v>
      </c>
      <c r="E320" s="8">
        <v>7.75</v>
      </c>
      <c r="F320" s="8">
        <v>87.584999999999994</v>
      </c>
      <c r="G320" s="8">
        <v>6.641</v>
      </c>
      <c r="H320" s="8"/>
    </row>
    <row r="321" spans="1:8" x14ac:dyDescent="0.35">
      <c r="A321" s="8">
        <v>317</v>
      </c>
      <c r="B321" s="11" t="s">
        <v>6</v>
      </c>
      <c r="C321" s="8">
        <v>0.9</v>
      </c>
      <c r="D321" s="8">
        <v>0.2</v>
      </c>
      <c r="E321" s="8">
        <v>8.2620000000000005</v>
      </c>
      <c r="F321" s="8">
        <v>94.884</v>
      </c>
      <c r="G321" s="8">
        <v>7.0730000000000004</v>
      </c>
      <c r="H321" s="8"/>
    </row>
    <row r="322" spans="1:8" x14ac:dyDescent="0.35">
      <c r="A322" s="8">
        <v>318</v>
      </c>
      <c r="B322" s="11" t="s">
        <v>6</v>
      </c>
      <c r="C322" s="8">
        <v>0.9</v>
      </c>
      <c r="D322" s="8">
        <v>0.3</v>
      </c>
      <c r="E322" s="8">
        <v>8.6910000000000007</v>
      </c>
      <c r="F322" s="8">
        <v>102.45</v>
      </c>
      <c r="G322" s="8">
        <v>7.4349999999999996</v>
      </c>
      <c r="H322" s="8"/>
    </row>
    <row r="323" spans="1:8" x14ac:dyDescent="0.35">
      <c r="A323" s="8">
        <v>319</v>
      </c>
      <c r="B323" s="11" t="s">
        <v>6</v>
      </c>
      <c r="C323" s="8">
        <v>0.9</v>
      </c>
      <c r="D323" s="8">
        <v>0.4</v>
      </c>
      <c r="E323" s="8">
        <v>9.0370000000000008</v>
      </c>
      <c r="F323" s="8">
        <v>110.11499999999999</v>
      </c>
      <c r="G323" s="8">
        <v>7.7240000000000002</v>
      </c>
      <c r="H323" s="8"/>
    </row>
    <row r="324" spans="1:8" x14ac:dyDescent="0.35">
      <c r="A324" s="8">
        <v>320</v>
      </c>
      <c r="B324" s="11" t="s">
        <v>6</v>
      </c>
      <c r="C324" s="8">
        <v>0.9</v>
      </c>
      <c r="D324" s="8">
        <v>0.5</v>
      </c>
      <c r="E324" s="8">
        <v>9.31</v>
      </c>
      <c r="F324" s="8">
        <v>117.845</v>
      </c>
      <c r="G324" s="8">
        <v>7.95</v>
      </c>
      <c r="H324" s="8"/>
    </row>
    <row r="325" spans="1:8" x14ac:dyDescent="0.35">
      <c r="A325" s="8">
        <v>321</v>
      </c>
      <c r="B325" s="11" t="s">
        <v>6</v>
      </c>
      <c r="C325" s="8">
        <v>0.9</v>
      </c>
      <c r="D325" s="8">
        <v>0.6</v>
      </c>
      <c r="E325" s="8">
        <v>9.5679999999999996</v>
      </c>
      <c r="F325" s="8">
        <v>125.66</v>
      </c>
      <c r="G325" s="8">
        <v>8.16</v>
      </c>
      <c r="H325" s="8"/>
    </row>
    <row r="326" spans="1:8" x14ac:dyDescent="0.35">
      <c r="A326" s="8">
        <v>322</v>
      </c>
      <c r="B326" s="11" t="s">
        <v>6</v>
      </c>
      <c r="C326" s="8">
        <v>0.9</v>
      </c>
      <c r="D326" s="8">
        <v>0.7</v>
      </c>
      <c r="E326" s="8">
        <v>9.82</v>
      </c>
      <c r="F326" s="8">
        <v>133.65299999999999</v>
      </c>
      <c r="G326" s="8">
        <v>8.3620000000000001</v>
      </c>
      <c r="H326" s="8"/>
    </row>
    <row r="327" spans="1:8" x14ac:dyDescent="0.35">
      <c r="A327" s="8">
        <v>323</v>
      </c>
      <c r="B327" s="11" t="s">
        <v>6</v>
      </c>
      <c r="C327" s="8">
        <v>0.9</v>
      </c>
      <c r="D327" s="8">
        <v>0.8</v>
      </c>
      <c r="E327" s="8">
        <v>10.077999999999999</v>
      </c>
      <c r="F327" s="8">
        <v>142.001</v>
      </c>
      <c r="G327" s="8">
        <v>8.5649999999999995</v>
      </c>
      <c r="H327" s="8"/>
    </row>
    <row r="328" spans="1:8" x14ac:dyDescent="0.35">
      <c r="A328" s="8">
        <v>324</v>
      </c>
      <c r="B328" s="11" t="s">
        <v>6</v>
      </c>
      <c r="C328" s="8">
        <v>0.9</v>
      </c>
      <c r="D328" s="8">
        <v>0.9</v>
      </c>
      <c r="E328" s="8">
        <v>10.404999999999999</v>
      </c>
      <c r="F328" s="8">
        <v>150.989</v>
      </c>
      <c r="G328" s="8">
        <v>8.8209999999999997</v>
      </c>
      <c r="H328" s="8"/>
    </row>
    <row r="329" spans="1:8" x14ac:dyDescent="0.35">
      <c r="A329" s="8">
        <v>325</v>
      </c>
      <c r="B329" s="11" t="s">
        <v>19</v>
      </c>
      <c r="C329" s="8">
        <v>0.1</v>
      </c>
      <c r="D329" s="8">
        <v>0.1</v>
      </c>
      <c r="E329" s="8">
        <v>6.194</v>
      </c>
      <c r="F329" s="8">
        <v>67.988</v>
      </c>
      <c r="G329" s="8">
        <v>4.92</v>
      </c>
      <c r="H329" s="8"/>
    </row>
    <row r="330" spans="1:8" x14ac:dyDescent="0.35">
      <c r="A330" s="8">
        <v>326</v>
      </c>
      <c r="B330" s="11" t="s">
        <v>19</v>
      </c>
      <c r="C330" s="8">
        <v>0.1</v>
      </c>
      <c r="D330" s="8">
        <v>0.2</v>
      </c>
      <c r="E330" s="8">
        <v>6.6319999999999997</v>
      </c>
      <c r="F330" s="8">
        <v>75.757999999999996</v>
      </c>
      <c r="G330" s="8">
        <v>5.2619999999999996</v>
      </c>
      <c r="H330" s="8"/>
    </row>
    <row r="331" spans="1:8" x14ac:dyDescent="0.35">
      <c r="A331" s="8">
        <v>327</v>
      </c>
      <c r="B331" s="11" t="s">
        <v>19</v>
      </c>
      <c r="C331" s="8">
        <v>0.1</v>
      </c>
      <c r="D331" s="8">
        <v>0.3</v>
      </c>
      <c r="E331" s="8">
        <v>7.2619999999999996</v>
      </c>
      <c r="F331" s="8">
        <v>87.14</v>
      </c>
      <c r="G331" s="8">
        <v>5.79</v>
      </c>
      <c r="H331" s="8"/>
    </row>
    <row r="332" spans="1:8" x14ac:dyDescent="0.35">
      <c r="A332" s="8">
        <v>328</v>
      </c>
      <c r="B332" s="11" t="s">
        <v>19</v>
      </c>
      <c r="C332" s="8">
        <v>0.1</v>
      </c>
      <c r="D332" s="8">
        <v>0.4</v>
      </c>
      <c r="E332" s="8">
        <v>7.2619999999999996</v>
      </c>
      <c r="F332" s="8">
        <v>85.856999999999999</v>
      </c>
      <c r="G332" s="8">
        <v>5.7930000000000001</v>
      </c>
      <c r="H332" s="8"/>
    </row>
    <row r="333" spans="1:8" x14ac:dyDescent="0.35">
      <c r="A333" s="8">
        <v>329</v>
      </c>
      <c r="B333" s="11" t="s">
        <v>19</v>
      </c>
      <c r="C333" s="8">
        <v>0.1</v>
      </c>
      <c r="D333" s="8">
        <v>0.5</v>
      </c>
      <c r="E333" s="8">
        <v>7.04</v>
      </c>
      <c r="F333" s="8">
        <v>80.543000000000006</v>
      </c>
      <c r="G333" s="8">
        <v>5.641</v>
      </c>
      <c r="H333" s="8"/>
    </row>
    <row r="334" spans="1:8" x14ac:dyDescent="0.35">
      <c r="A334" s="8">
        <v>330</v>
      </c>
      <c r="B334" s="11" t="s">
        <v>19</v>
      </c>
      <c r="C334" s="8">
        <v>0.1</v>
      </c>
      <c r="D334" s="8">
        <v>0.6</v>
      </c>
      <c r="E334" s="8">
        <v>7.7220000000000004</v>
      </c>
      <c r="F334" s="8">
        <v>101.262</v>
      </c>
      <c r="G334" s="8">
        <v>6.2320000000000002</v>
      </c>
      <c r="H334" s="8"/>
    </row>
    <row r="335" spans="1:8" x14ac:dyDescent="0.35">
      <c r="A335" s="8">
        <v>331</v>
      </c>
      <c r="B335" s="11" t="s">
        <v>19</v>
      </c>
      <c r="C335" s="8">
        <v>0.1</v>
      </c>
      <c r="D335" s="8">
        <v>0.7</v>
      </c>
      <c r="E335" s="8">
        <v>8.5969999999999995</v>
      </c>
      <c r="F335" s="8">
        <v>112.02</v>
      </c>
      <c r="G335" s="8">
        <v>7.04</v>
      </c>
      <c r="H335" s="8"/>
    </row>
    <row r="336" spans="1:8" x14ac:dyDescent="0.35">
      <c r="A336" s="8">
        <v>332</v>
      </c>
      <c r="B336" s="11" t="s">
        <v>19</v>
      </c>
      <c r="C336" s="8">
        <v>0.1</v>
      </c>
      <c r="D336" s="8">
        <v>0.8</v>
      </c>
      <c r="E336" s="8">
        <v>8.4220000000000006</v>
      </c>
      <c r="F336" s="8">
        <v>107.548</v>
      </c>
      <c r="G336" s="8">
        <v>6.9530000000000003</v>
      </c>
      <c r="H336" s="8"/>
    </row>
    <row r="337" spans="1:8" x14ac:dyDescent="0.35">
      <c r="A337" s="8">
        <v>333</v>
      </c>
      <c r="B337" s="11" t="s">
        <v>19</v>
      </c>
      <c r="C337" s="8">
        <v>0.1</v>
      </c>
      <c r="D337" s="8">
        <v>0.9</v>
      </c>
      <c r="E337" s="8">
        <v>8.202</v>
      </c>
      <c r="F337" s="8">
        <v>107.964</v>
      </c>
      <c r="G337" s="8">
        <v>6.8</v>
      </c>
      <c r="H337" s="8"/>
    </row>
    <row r="338" spans="1:8" x14ac:dyDescent="0.35">
      <c r="A338" s="8">
        <v>334</v>
      </c>
      <c r="B338" s="11" t="s">
        <v>19</v>
      </c>
      <c r="C338" s="8">
        <v>0.2</v>
      </c>
      <c r="D338" s="8">
        <v>0.1</v>
      </c>
      <c r="E338" s="8">
        <v>6.1829999999999998</v>
      </c>
      <c r="F338" s="8">
        <v>66.697000000000003</v>
      </c>
      <c r="G338" s="8">
        <v>4.944</v>
      </c>
      <c r="H338" s="8"/>
    </row>
    <row r="339" spans="1:8" x14ac:dyDescent="0.35">
      <c r="A339" s="8">
        <v>335</v>
      </c>
      <c r="B339" s="11" t="s">
        <v>19</v>
      </c>
      <c r="C339" s="8">
        <v>0.2</v>
      </c>
      <c r="D339" s="8">
        <v>0.2</v>
      </c>
      <c r="E339" s="8">
        <v>6.39</v>
      </c>
      <c r="F339" s="8">
        <v>70.311000000000007</v>
      </c>
      <c r="G339" s="8">
        <v>5.133</v>
      </c>
      <c r="H339" s="8"/>
    </row>
    <row r="340" spans="1:8" x14ac:dyDescent="0.35">
      <c r="A340" s="8">
        <v>336</v>
      </c>
      <c r="B340" s="11" t="s">
        <v>19</v>
      </c>
      <c r="C340" s="8">
        <v>0.2</v>
      </c>
      <c r="D340" s="8">
        <v>0.3</v>
      </c>
      <c r="E340" s="8">
        <v>6.36</v>
      </c>
      <c r="F340" s="8">
        <v>73.314999999999998</v>
      </c>
      <c r="G340" s="8">
        <v>5.1379999999999999</v>
      </c>
      <c r="H340" s="8"/>
    </row>
    <row r="341" spans="1:8" x14ac:dyDescent="0.35">
      <c r="A341" s="8">
        <v>337</v>
      </c>
      <c r="B341" s="11" t="s">
        <v>19</v>
      </c>
      <c r="C341" s="8">
        <v>0.2</v>
      </c>
      <c r="D341" s="8">
        <v>0.4</v>
      </c>
      <c r="E341" s="8">
        <v>6.3319999999999999</v>
      </c>
      <c r="F341" s="8">
        <v>78.028999999999996</v>
      </c>
      <c r="G341" s="8">
        <v>5.1449999999999996</v>
      </c>
      <c r="H341" s="8"/>
    </row>
    <row r="342" spans="1:8" x14ac:dyDescent="0.35">
      <c r="A342" s="8">
        <v>338</v>
      </c>
      <c r="B342" s="11" t="s">
        <v>19</v>
      </c>
      <c r="C342" s="8">
        <v>0.2</v>
      </c>
      <c r="D342" s="8">
        <v>0.5</v>
      </c>
      <c r="E342" s="8">
        <v>6.6589999999999998</v>
      </c>
      <c r="F342" s="8">
        <v>86.289000000000001</v>
      </c>
      <c r="G342" s="8">
        <v>5.431</v>
      </c>
      <c r="H342" s="8"/>
    </row>
    <row r="343" spans="1:8" x14ac:dyDescent="0.35">
      <c r="A343" s="8">
        <v>339</v>
      </c>
      <c r="B343" s="11" t="s">
        <v>19</v>
      </c>
      <c r="C343" s="8">
        <v>0.2</v>
      </c>
      <c r="D343" s="8">
        <v>0.6</v>
      </c>
      <c r="E343" s="8">
        <v>7.5279999999999996</v>
      </c>
      <c r="F343" s="8">
        <v>100.776</v>
      </c>
      <c r="G343" s="8">
        <v>6.1479999999999997</v>
      </c>
      <c r="H343" s="8"/>
    </row>
    <row r="344" spans="1:8" x14ac:dyDescent="0.35">
      <c r="A344" s="8">
        <v>340</v>
      </c>
      <c r="B344" s="11" t="s">
        <v>19</v>
      </c>
      <c r="C344" s="8">
        <v>0.2</v>
      </c>
      <c r="D344" s="8">
        <v>0.7</v>
      </c>
      <c r="E344" s="8">
        <v>8.6519999999999992</v>
      </c>
      <c r="F344" s="8">
        <v>122.535</v>
      </c>
      <c r="G344" s="8">
        <v>7.0709999999999997</v>
      </c>
      <c r="H344" s="8"/>
    </row>
    <row r="345" spans="1:8" x14ac:dyDescent="0.35">
      <c r="A345" s="8">
        <v>341</v>
      </c>
      <c r="B345" s="11" t="s">
        <v>19</v>
      </c>
      <c r="C345" s="8">
        <v>0.2</v>
      </c>
      <c r="D345" s="8">
        <v>0.8</v>
      </c>
      <c r="E345" s="8">
        <v>9.8450000000000006</v>
      </c>
      <c r="F345" s="8">
        <v>148.31100000000001</v>
      </c>
      <c r="G345" s="8">
        <v>8.0619999999999994</v>
      </c>
      <c r="H345" s="8"/>
    </row>
    <row r="346" spans="1:8" x14ac:dyDescent="0.35">
      <c r="A346" s="8">
        <v>342</v>
      </c>
      <c r="B346" s="11" t="s">
        <v>19</v>
      </c>
      <c r="C346" s="8">
        <v>0.2</v>
      </c>
      <c r="D346" s="8">
        <v>0.9</v>
      </c>
      <c r="E346" s="8">
        <v>10.548</v>
      </c>
      <c r="F346" s="8">
        <v>170.24</v>
      </c>
      <c r="G346" s="8">
        <v>8.6649999999999991</v>
      </c>
      <c r="H346" s="8"/>
    </row>
    <row r="347" spans="1:8" x14ac:dyDescent="0.35">
      <c r="A347" s="8">
        <v>343</v>
      </c>
      <c r="B347" s="11" t="s">
        <v>19</v>
      </c>
      <c r="C347" s="8">
        <v>0.3</v>
      </c>
      <c r="D347" s="8">
        <v>0.1</v>
      </c>
      <c r="E347" s="8">
        <v>5.8280000000000003</v>
      </c>
      <c r="F347" s="8">
        <v>64.777000000000001</v>
      </c>
      <c r="G347" s="8">
        <v>4.6890000000000001</v>
      </c>
      <c r="H347" s="8"/>
    </row>
    <row r="348" spans="1:8" x14ac:dyDescent="0.35">
      <c r="A348" s="8">
        <v>344</v>
      </c>
      <c r="B348" s="11" t="s">
        <v>19</v>
      </c>
      <c r="C348" s="8">
        <v>0.3</v>
      </c>
      <c r="D348" s="8">
        <v>0.2</v>
      </c>
      <c r="E348" s="8">
        <v>6.0270000000000001</v>
      </c>
      <c r="F348" s="8">
        <v>69.417000000000002</v>
      </c>
      <c r="G348" s="8">
        <v>4.88</v>
      </c>
      <c r="H348" s="8"/>
    </row>
    <row r="349" spans="1:8" x14ac:dyDescent="0.35">
      <c r="A349" s="8">
        <v>345</v>
      </c>
      <c r="B349" s="11" t="s">
        <v>19</v>
      </c>
      <c r="C349" s="8">
        <v>0.3</v>
      </c>
      <c r="D349" s="8">
        <v>0.3</v>
      </c>
      <c r="E349" s="8">
        <v>6.415</v>
      </c>
      <c r="F349" s="8">
        <v>76.542000000000002</v>
      </c>
      <c r="G349" s="8">
        <v>5.226</v>
      </c>
      <c r="H349" s="8"/>
    </row>
    <row r="350" spans="1:8" x14ac:dyDescent="0.35">
      <c r="A350" s="8">
        <v>346</v>
      </c>
      <c r="B350" s="11" t="s">
        <v>19</v>
      </c>
      <c r="C350" s="8">
        <v>0.3</v>
      </c>
      <c r="D350" s="8">
        <v>0.4</v>
      </c>
      <c r="E350" s="8">
        <v>7.0010000000000003</v>
      </c>
      <c r="F350" s="8">
        <v>88.149000000000001</v>
      </c>
      <c r="G350" s="8">
        <v>5.7249999999999996</v>
      </c>
      <c r="H350" s="8"/>
    </row>
    <row r="351" spans="1:8" x14ac:dyDescent="0.35">
      <c r="A351" s="8">
        <v>347</v>
      </c>
      <c r="B351" s="11" t="s">
        <v>19</v>
      </c>
      <c r="C351" s="8">
        <v>0.3</v>
      </c>
      <c r="D351" s="8">
        <v>0.5</v>
      </c>
      <c r="E351" s="8">
        <v>7.6040000000000001</v>
      </c>
      <c r="F351" s="8">
        <v>103.66800000000001</v>
      </c>
      <c r="G351" s="8">
        <v>6.2359999999999998</v>
      </c>
      <c r="H351" s="8"/>
    </row>
    <row r="352" spans="1:8" x14ac:dyDescent="0.35">
      <c r="A352" s="8">
        <v>348</v>
      </c>
      <c r="B352" s="11" t="s">
        <v>19</v>
      </c>
      <c r="C352" s="8">
        <v>0.3</v>
      </c>
      <c r="D352" s="8">
        <v>0.6</v>
      </c>
      <c r="E352" s="8">
        <v>8.1029999999999998</v>
      </c>
      <c r="F352" s="8">
        <v>119.345</v>
      </c>
      <c r="G352" s="8">
        <v>6.6680000000000001</v>
      </c>
      <c r="H352" s="8"/>
    </row>
    <row r="353" spans="1:8" x14ac:dyDescent="0.35">
      <c r="A353" s="8">
        <v>349</v>
      </c>
      <c r="B353" s="11" t="s">
        <v>19</v>
      </c>
      <c r="C353" s="8">
        <v>0.3</v>
      </c>
      <c r="D353" s="8">
        <v>0.7</v>
      </c>
      <c r="E353" s="8">
        <v>8.66</v>
      </c>
      <c r="F353" s="8">
        <v>131.666</v>
      </c>
      <c r="G353" s="8">
        <v>7.1589999999999998</v>
      </c>
      <c r="H353" s="8"/>
    </row>
    <row r="354" spans="1:8" x14ac:dyDescent="0.35">
      <c r="A354" s="8">
        <v>350</v>
      </c>
      <c r="B354" s="11" t="s">
        <v>19</v>
      </c>
      <c r="C354" s="8">
        <v>0.3</v>
      </c>
      <c r="D354" s="8">
        <v>0.8</v>
      </c>
      <c r="E354" s="8">
        <v>9.0280000000000005</v>
      </c>
      <c r="F354" s="8">
        <v>140.50200000000001</v>
      </c>
      <c r="G354" s="8">
        <v>7.4850000000000003</v>
      </c>
      <c r="H354" s="8"/>
    </row>
    <row r="355" spans="1:8" x14ac:dyDescent="0.35">
      <c r="A355" s="8">
        <v>351</v>
      </c>
      <c r="B355" s="11" t="s">
        <v>19</v>
      </c>
      <c r="C355" s="8">
        <v>0.3</v>
      </c>
      <c r="D355" s="8">
        <v>0.9</v>
      </c>
      <c r="E355" s="8">
        <v>9.1709999999999994</v>
      </c>
      <c r="F355" s="8">
        <v>147.55600000000001</v>
      </c>
      <c r="G355" s="8">
        <v>7.6150000000000002</v>
      </c>
      <c r="H355" s="8"/>
    </row>
    <row r="356" spans="1:8" x14ac:dyDescent="0.35">
      <c r="A356" s="8">
        <v>352</v>
      </c>
      <c r="B356" s="11" t="s">
        <v>19</v>
      </c>
      <c r="C356" s="8">
        <v>0.4</v>
      </c>
      <c r="D356" s="8">
        <v>0.1</v>
      </c>
      <c r="E356" s="8">
        <v>5.69</v>
      </c>
      <c r="F356" s="8">
        <v>66.132999999999996</v>
      </c>
      <c r="G356" s="8">
        <v>4.6050000000000004</v>
      </c>
      <c r="H356" s="8"/>
    </row>
    <row r="357" spans="1:8" x14ac:dyDescent="0.35">
      <c r="A357" s="8">
        <v>353</v>
      </c>
      <c r="B357" s="11" t="s">
        <v>19</v>
      </c>
      <c r="C357" s="8">
        <v>0.4</v>
      </c>
      <c r="D357" s="8">
        <v>0.2</v>
      </c>
      <c r="E357" s="8">
        <v>5.976</v>
      </c>
      <c r="F357" s="8">
        <v>73.106999999999999</v>
      </c>
      <c r="G357" s="8">
        <v>4.867</v>
      </c>
      <c r="H357" s="8"/>
    </row>
    <row r="358" spans="1:8" x14ac:dyDescent="0.35">
      <c r="A358" s="8">
        <v>354</v>
      </c>
      <c r="B358" s="11" t="s">
        <v>19</v>
      </c>
      <c r="C358" s="8">
        <v>0.4</v>
      </c>
      <c r="D358" s="8">
        <v>0.3</v>
      </c>
      <c r="E358" s="8">
        <v>6.31</v>
      </c>
      <c r="F358" s="8">
        <v>82.991</v>
      </c>
      <c r="G358" s="8">
        <v>5.1630000000000003</v>
      </c>
      <c r="H358" s="8"/>
    </row>
    <row r="359" spans="1:8" x14ac:dyDescent="0.35">
      <c r="A359" s="8">
        <v>355</v>
      </c>
      <c r="B359" s="11" t="s">
        <v>19</v>
      </c>
      <c r="C359" s="8">
        <v>0.4</v>
      </c>
      <c r="D359" s="8">
        <v>0.4</v>
      </c>
      <c r="E359" s="8">
        <v>6.7859999999999996</v>
      </c>
      <c r="F359" s="8">
        <v>94.99</v>
      </c>
      <c r="G359" s="8">
        <v>5.577</v>
      </c>
      <c r="H359" s="8"/>
    </row>
    <row r="360" spans="1:8" x14ac:dyDescent="0.35">
      <c r="A360" s="8">
        <v>356</v>
      </c>
      <c r="B360" s="11" t="s">
        <v>19</v>
      </c>
      <c r="C360" s="8">
        <v>0.4</v>
      </c>
      <c r="D360" s="8">
        <v>0.5</v>
      </c>
      <c r="E360" s="8">
        <v>7.4640000000000004</v>
      </c>
      <c r="F360" s="8">
        <v>106.44499999999999</v>
      </c>
      <c r="G360" s="8">
        <v>6.1630000000000003</v>
      </c>
      <c r="H360" s="8"/>
    </row>
    <row r="361" spans="1:8" x14ac:dyDescent="0.35">
      <c r="A361" s="8">
        <v>357</v>
      </c>
      <c r="B361" s="11" t="s">
        <v>19</v>
      </c>
      <c r="C361" s="8">
        <v>0.4</v>
      </c>
      <c r="D361" s="8">
        <v>0.6</v>
      </c>
      <c r="E361" s="8">
        <v>7.8760000000000003</v>
      </c>
      <c r="F361" s="8">
        <v>115.627</v>
      </c>
      <c r="G361" s="8">
        <v>6.5209999999999999</v>
      </c>
      <c r="H361" s="8"/>
    </row>
    <row r="362" spans="1:8" x14ac:dyDescent="0.35">
      <c r="A362" s="8">
        <v>358</v>
      </c>
      <c r="B362" s="11" t="s">
        <v>19</v>
      </c>
      <c r="C362" s="8">
        <v>0.4</v>
      </c>
      <c r="D362" s="8">
        <v>0.7</v>
      </c>
      <c r="E362" s="8">
        <v>8.1649999999999991</v>
      </c>
      <c r="F362" s="8">
        <v>122.687</v>
      </c>
      <c r="G362" s="8">
        <v>6.774</v>
      </c>
      <c r="H362" s="8"/>
    </row>
    <row r="363" spans="1:8" x14ac:dyDescent="0.35">
      <c r="A363" s="8">
        <v>359</v>
      </c>
      <c r="B363" s="11" t="s">
        <v>19</v>
      </c>
      <c r="C363" s="8">
        <v>0.4</v>
      </c>
      <c r="D363" s="8">
        <v>0.8</v>
      </c>
      <c r="E363" s="8">
        <v>8.5039999999999996</v>
      </c>
      <c r="F363" s="8">
        <v>128.38</v>
      </c>
      <c r="G363" s="8">
        <v>7.0650000000000004</v>
      </c>
      <c r="H363" s="8"/>
    </row>
    <row r="364" spans="1:8" x14ac:dyDescent="0.35">
      <c r="A364" s="8">
        <v>360</v>
      </c>
      <c r="B364" s="11" t="s">
        <v>19</v>
      </c>
      <c r="C364" s="8">
        <v>0.4</v>
      </c>
      <c r="D364" s="8">
        <v>0.9</v>
      </c>
      <c r="E364" s="8">
        <v>8.8450000000000006</v>
      </c>
      <c r="F364" s="8">
        <v>133.20599999999999</v>
      </c>
      <c r="G364" s="8">
        <v>7.3479999999999999</v>
      </c>
      <c r="H364" s="8"/>
    </row>
    <row r="365" spans="1:8" x14ac:dyDescent="0.35">
      <c r="A365" s="8">
        <v>361</v>
      </c>
      <c r="B365" s="11" t="s">
        <v>19</v>
      </c>
      <c r="C365" s="8">
        <v>0.5</v>
      </c>
      <c r="D365" s="8">
        <v>0.1</v>
      </c>
      <c r="E365" s="8">
        <v>5.4980000000000002</v>
      </c>
      <c r="F365" s="8">
        <v>68.725999999999999</v>
      </c>
      <c r="G365" s="8">
        <v>4.4669999999999996</v>
      </c>
      <c r="H365" s="8"/>
    </row>
    <row r="366" spans="1:8" x14ac:dyDescent="0.35">
      <c r="A366" s="8">
        <v>362</v>
      </c>
      <c r="B366" s="11" t="s">
        <v>19</v>
      </c>
      <c r="C366" s="8">
        <v>0.5</v>
      </c>
      <c r="D366" s="8">
        <v>0.2</v>
      </c>
      <c r="E366" s="8">
        <v>5.7270000000000003</v>
      </c>
      <c r="F366" s="8">
        <v>76.896000000000001</v>
      </c>
      <c r="G366" s="8">
        <v>4.6790000000000003</v>
      </c>
      <c r="H366" s="8"/>
    </row>
    <row r="367" spans="1:8" x14ac:dyDescent="0.35">
      <c r="A367" s="8">
        <v>363</v>
      </c>
      <c r="B367" s="11" t="s">
        <v>19</v>
      </c>
      <c r="C367" s="8">
        <v>0.5</v>
      </c>
      <c r="D367" s="8">
        <v>0.3</v>
      </c>
      <c r="E367" s="8">
        <v>6.2969999999999997</v>
      </c>
      <c r="F367" s="8">
        <v>86.661000000000001</v>
      </c>
      <c r="G367" s="8">
        <v>5.1790000000000003</v>
      </c>
      <c r="H367" s="8"/>
    </row>
    <row r="368" spans="1:8" x14ac:dyDescent="0.35">
      <c r="A368" s="8">
        <v>364</v>
      </c>
      <c r="B368" s="11" t="s">
        <v>19</v>
      </c>
      <c r="C368" s="8">
        <v>0.5</v>
      </c>
      <c r="D368" s="8">
        <v>0.4</v>
      </c>
      <c r="E368" s="8">
        <v>6.8049999999999997</v>
      </c>
      <c r="F368" s="8">
        <v>96.364000000000004</v>
      </c>
      <c r="G368" s="8">
        <v>5.6219999999999999</v>
      </c>
      <c r="H368" s="8"/>
    </row>
    <row r="369" spans="1:8" x14ac:dyDescent="0.35">
      <c r="A369" s="8">
        <v>365</v>
      </c>
      <c r="B369" s="11" t="s">
        <v>19</v>
      </c>
      <c r="C369" s="8">
        <v>0.5</v>
      </c>
      <c r="D369" s="8">
        <v>0.5</v>
      </c>
      <c r="E369" s="8">
        <v>7.1120000000000001</v>
      </c>
      <c r="F369" s="8">
        <v>104.482</v>
      </c>
      <c r="G369" s="8">
        <v>5.8929999999999998</v>
      </c>
      <c r="H369" s="8"/>
    </row>
    <row r="370" spans="1:8" x14ac:dyDescent="0.35">
      <c r="A370" s="8">
        <v>366</v>
      </c>
      <c r="B370" s="11" t="s">
        <v>19</v>
      </c>
      <c r="C370" s="8">
        <v>0.5</v>
      </c>
      <c r="D370" s="8">
        <v>0.6</v>
      </c>
      <c r="E370" s="8">
        <v>7.4459999999999997</v>
      </c>
      <c r="F370" s="8">
        <v>110.783</v>
      </c>
      <c r="G370" s="8">
        <v>6.1859999999999999</v>
      </c>
      <c r="H370" s="8"/>
    </row>
    <row r="371" spans="1:8" x14ac:dyDescent="0.35">
      <c r="A371" s="8">
        <v>367</v>
      </c>
      <c r="B371" s="11" t="s">
        <v>19</v>
      </c>
      <c r="C371" s="8">
        <v>0.5</v>
      </c>
      <c r="D371" s="8">
        <v>0.7</v>
      </c>
      <c r="E371" s="8">
        <v>7.6980000000000004</v>
      </c>
      <c r="F371" s="8">
        <v>115.65900000000001</v>
      </c>
      <c r="G371" s="8">
        <v>6.4020000000000001</v>
      </c>
      <c r="H371" s="8"/>
    </row>
    <row r="372" spans="1:8" x14ac:dyDescent="0.35">
      <c r="A372" s="8">
        <v>368</v>
      </c>
      <c r="B372" s="11" t="s">
        <v>19</v>
      </c>
      <c r="C372" s="8">
        <v>0.5</v>
      </c>
      <c r="D372" s="8">
        <v>0.8</v>
      </c>
      <c r="E372" s="8">
        <v>7.7140000000000004</v>
      </c>
      <c r="F372" s="8">
        <v>119.398</v>
      </c>
      <c r="G372" s="8">
        <v>6.4210000000000003</v>
      </c>
      <c r="H372" s="8"/>
    </row>
    <row r="373" spans="1:8" x14ac:dyDescent="0.35">
      <c r="A373" s="8">
        <v>369</v>
      </c>
      <c r="B373" s="11" t="s">
        <v>19</v>
      </c>
      <c r="C373" s="8">
        <v>0.5</v>
      </c>
      <c r="D373" s="8">
        <v>0.9</v>
      </c>
      <c r="E373" s="8">
        <v>7.5659999999999998</v>
      </c>
      <c r="F373" s="8">
        <v>122.04600000000001</v>
      </c>
      <c r="G373" s="8">
        <v>6.3019999999999996</v>
      </c>
      <c r="H373" s="8"/>
    </row>
    <row r="374" spans="1:8" x14ac:dyDescent="0.35">
      <c r="A374" s="8">
        <v>370</v>
      </c>
      <c r="B374" s="11" t="s">
        <v>19</v>
      </c>
      <c r="C374" s="8">
        <v>0.6</v>
      </c>
      <c r="D374" s="8">
        <v>0.1</v>
      </c>
      <c r="E374" s="8">
        <v>5.3739999999999997</v>
      </c>
      <c r="F374" s="8">
        <v>71.533000000000001</v>
      </c>
      <c r="G374" s="8">
        <v>4.383</v>
      </c>
      <c r="H374" s="8"/>
    </row>
    <row r="375" spans="1:8" x14ac:dyDescent="0.35">
      <c r="A375" s="8">
        <v>371</v>
      </c>
      <c r="B375" s="11" t="s">
        <v>19</v>
      </c>
      <c r="C375" s="8">
        <v>0.6</v>
      </c>
      <c r="D375" s="8">
        <v>0.2</v>
      </c>
      <c r="E375" s="8">
        <v>5.7489999999999997</v>
      </c>
      <c r="F375" s="8">
        <v>79.918000000000006</v>
      </c>
      <c r="G375" s="8">
        <v>4.7229999999999999</v>
      </c>
      <c r="H375" s="8"/>
    </row>
    <row r="376" spans="1:8" x14ac:dyDescent="0.35">
      <c r="A376" s="8">
        <v>372</v>
      </c>
      <c r="B376" s="11" t="s">
        <v>19</v>
      </c>
      <c r="C376" s="8">
        <v>0.6</v>
      </c>
      <c r="D376" s="8">
        <v>0.3</v>
      </c>
      <c r="E376" s="8">
        <v>6.1710000000000003</v>
      </c>
      <c r="F376" s="8">
        <v>88.671999999999997</v>
      </c>
      <c r="G376" s="8">
        <v>5.0979999999999999</v>
      </c>
      <c r="H376" s="8"/>
    </row>
    <row r="377" spans="1:8" x14ac:dyDescent="0.35">
      <c r="A377" s="8">
        <v>373</v>
      </c>
      <c r="B377" s="11" t="s">
        <v>19</v>
      </c>
      <c r="C377" s="8">
        <v>0.6</v>
      </c>
      <c r="D377" s="8">
        <v>0.4</v>
      </c>
      <c r="E377" s="8">
        <v>6.4660000000000002</v>
      </c>
      <c r="F377" s="8">
        <v>96.438000000000002</v>
      </c>
      <c r="G377" s="8">
        <v>5.3630000000000004</v>
      </c>
      <c r="H377" s="8"/>
    </row>
    <row r="378" spans="1:8" x14ac:dyDescent="0.35">
      <c r="A378" s="8">
        <v>374</v>
      </c>
      <c r="B378" s="11" t="s">
        <v>19</v>
      </c>
      <c r="C378" s="8">
        <v>0.6</v>
      </c>
      <c r="D378" s="8">
        <v>0.5</v>
      </c>
      <c r="E378" s="8">
        <v>6.76</v>
      </c>
      <c r="F378" s="8">
        <v>102.55800000000001</v>
      </c>
      <c r="G378" s="8">
        <v>5.6210000000000004</v>
      </c>
      <c r="H378" s="8"/>
    </row>
    <row r="379" spans="1:8" x14ac:dyDescent="0.35">
      <c r="A379" s="8">
        <v>375</v>
      </c>
      <c r="B379" s="11" t="s">
        <v>19</v>
      </c>
      <c r="C379" s="8">
        <v>0.6</v>
      </c>
      <c r="D379" s="8">
        <v>0.6</v>
      </c>
      <c r="E379" s="8">
        <v>6.8849999999999998</v>
      </c>
      <c r="F379" s="8">
        <v>107.125</v>
      </c>
      <c r="G379" s="8">
        <v>5.734</v>
      </c>
      <c r="H379" s="8"/>
    </row>
    <row r="380" spans="1:8" x14ac:dyDescent="0.35">
      <c r="A380" s="8">
        <v>376</v>
      </c>
      <c r="B380" s="11" t="s">
        <v>19</v>
      </c>
      <c r="C380" s="8">
        <v>0.6</v>
      </c>
      <c r="D380" s="8">
        <v>0.7</v>
      </c>
      <c r="E380" s="8">
        <v>6.8230000000000004</v>
      </c>
      <c r="F380" s="8">
        <v>110.379</v>
      </c>
      <c r="G380" s="8">
        <v>5.69</v>
      </c>
      <c r="H380" s="8"/>
    </row>
    <row r="381" spans="1:8" x14ac:dyDescent="0.35">
      <c r="A381" s="8">
        <v>377</v>
      </c>
      <c r="B381" s="11" t="s">
        <v>19</v>
      </c>
      <c r="C381" s="8">
        <v>0.6</v>
      </c>
      <c r="D381" s="8">
        <v>0.8</v>
      </c>
      <c r="E381" s="8">
        <v>6.673</v>
      </c>
      <c r="F381" s="8">
        <v>112.47</v>
      </c>
      <c r="G381" s="8">
        <v>5.5709999999999997</v>
      </c>
      <c r="H381" s="8"/>
    </row>
    <row r="382" spans="1:8" x14ac:dyDescent="0.35">
      <c r="A382" s="8">
        <v>378</v>
      </c>
      <c r="B382" s="11" t="s">
        <v>19</v>
      </c>
      <c r="C382" s="8">
        <v>0.6</v>
      </c>
      <c r="D382" s="8">
        <v>0.9</v>
      </c>
      <c r="E382" s="8">
        <v>6.5640000000000001</v>
      </c>
      <c r="F382" s="8">
        <v>113.518</v>
      </c>
      <c r="G382" s="8">
        <v>5.49</v>
      </c>
      <c r="H382" s="8"/>
    </row>
    <row r="383" spans="1:8" x14ac:dyDescent="0.35">
      <c r="A383" s="8">
        <v>379</v>
      </c>
      <c r="B383" s="11" t="s">
        <v>19</v>
      </c>
      <c r="C383" s="8">
        <v>0.7</v>
      </c>
      <c r="D383" s="8">
        <v>0.1</v>
      </c>
      <c r="E383" s="8">
        <v>5.3479999999999999</v>
      </c>
      <c r="F383" s="8">
        <v>74.313000000000002</v>
      </c>
      <c r="G383" s="8">
        <v>4.383</v>
      </c>
      <c r="H383" s="8"/>
    </row>
    <row r="384" spans="1:8" x14ac:dyDescent="0.35">
      <c r="A384" s="8">
        <v>380</v>
      </c>
      <c r="B384" s="11" t="s">
        <v>19</v>
      </c>
      <c r="C384" s="8">
        <v>0.7</v>
      </c>
      <c r="D384" s="8">
        <v>0.2</v>
      </c>
      <c r="E384" s="8">
        <v>5.66</v>
      </c>
      <c r="F384" s="8">
        <v>82.481999999999999</v>
      </c>
      <c r="G384" s="8">
        <v>4.6710000000000003</v>
      </c>
      <c r="H384" s="8"/>
    </row>
    <row r="385" spans="1:8" x14ac:dyDescent="0.35">
      <c r="A385" s="8">
        <v>381</v>
      </c>
      <c r="B385" s="11" t="s">
        <v>19</v>
      </c>
      <c r="C385" s="8">
        <v>0.7</v>
      </c>
      <c r="D385" s="8">
        <v>0.3</v>
      </c>
      <c r="E385" s="8">
        <v>5.93</v>
      </c>
      <c r="F385" s="8">
        <v>90.221000000000004</v>
      </c>
      <c r="G385" s="8">
        <v>4.9180000000000001</v>
      </c>
      <c r="H385" s="8"/>
    </row>
    <row r="386" spans="1:8" x14ac:dyDescent="0.35">
      <c r="A386" s="8">
        <v>382</v>
      </c>
      <c r="B386" s="11" t="s">
        <v>19</v>
      </c>
      <c r="C386" s="8">
        <v>0.7</v>
      </c>
      <c r="D386" s="8">
        <v>0.4</v>
      </c>
      <c r="E386" s="8">
        <v>6.1660000000000004</v>
      </c>
      <c r="F386" s="8">
        <v>96.623000000000005</v>
      </c>
      <c r="G386" s="8">
        <v>5.1289999999999996</v>
      </c>
      <c r="H386" s="8"/>
    </row>
    <row r="387" spans="1:8" x14ac:dyDescent="0.35">
      <c r="A387" s="8">
        <v>383</v>
      </c>
      <c r="B387" s="11" t="s">
        <v>19</v>
      </c>
      <c r="C387" s="8">
        <v>0.7</v>
      </c>
      <c r="D387" s="8">
        <v>0.5</v>
      </c>
      <c r="E387" s="8">
        <v>6.2729999999999997</v>
      </c>
      <c r="F387" s="8">
        <v>101.453</v>
      </c>
      <c r="G387" s="8">
        <v>5.23</v>
      </c>
      <c r="H387" s="8"/>
    </row>
    <row r="388" spans="1:8" x14ac:dyDescent="0.35">
      <c r="A388" s="8">
        <v>384</v>
      </c>
      <c r="B388" s="11" t="s">
        <v>19</v>
      </c>
      <c r="C388" s="8">
        <v>0.7</v>
      </c>
      <c r="D388" s="8">
        <v>0.6</v>
      </c>
      <c r="E388" s="8">
        <v>6.2910000000000004</v>
      </c>
      <c r="F388" s="8">
        <v>104.89400000000001</v>
      </c>
      <c r="G388" s="8">
        <v>5.2530000000000001</v>
      </c>
      <c r="H388" s="8"/>
    </row>
    <row r="389" spans="1:8" x14ac:dyDescent="0.35">
      <c r="A389" s="8">
        <v>385</v>
      </c>
      <c r="B389" s="11" t="s">
        <v>19</v>
      </c>
      <c r="C389" s="8">
        <v>0.7</v>
      </c>
      <c r="D389" s="8">
        <v>0.7</v>
      </c>
      <c r="E389" s="8">
        <v>6.3029999999999999</v>
      </c>
      <c r="F389" s="8">
        <v>107.18300000000001</v>
      </c>
      <c r="G389" s="8">
        <v>5.2720000000000002</v>
      </c>
      <c r="H389" s="8"/>
    </row>
    <row r="390" spans="1:8" x14ac:dyDescent="0.35">
      <c r="A390" s="8">
        <v>386</v>
      </c>
      <c r="B390" s="11" t="s">
        <v>19</v>
      </c>
      <c r="C390" s="8">
        <v>0.7</v>
      </c>
      <c r="D390" s="8">
        <v>0.8</v>
      </c>
      <c r="E390" s="8">
        <v>6.3079999999999998</v>
      </c>
      <c r="F390" s="8">
        <v>108.547</v>
      </c>
      <c r="G390" s="8">
        <v>5.28</v>
      </c>
      <c r="H390" s="8"/>
    </row>
    <row r="391" spans="1:8" x14ac:dyDescent="0.35">
      <c r="A391" s="8">
        <v>387</v>
      </c>
      <c r="B391" s="11" t="s">
        <v>19</v>
      </c>
      <c r="C391" s="8">
        <v>0.7</v>
      </c>
      <c r="D391" s="8">
        <v>0.9</v>
      </c>
      <c r="E391" s="8">
        <v>6.319</v>
      </c>
      <c r="F391" s="8">
        <v>109.226</v>
      </c>
      <c r="G391" s="8">
        <v>5.2889999999999997</v>
      </c>
      <c r="H391" s="8"/>
    </row>
    <row r="392" spans="1:8" x14ac:dyDescent="0.35">
      <c r="A392" s="29">
        <v>388</v>
      </c>
      <c r="B392" s="30" t="s">
        <v>19</v>
      </c>
      <c r="C392" s="29">
        <v>0.8</v>
      </c>
      <c r="D392" s="29">
        <v>0.1</v>
      </c>
      <c r="E392" s="29">
        <v>5.282</v>
      </c>
      <c r="F392" s="29">
        <v>77.117999999999995</v>
      </c>
      <c r="G392" s="29">
        <v>4.3470000000000004</v>
      </c>
      <c r="H392" s="29" t="s">
        <v>218</v>
      </c>
    </row>
    <row r="393" spans="1:8" x14ac:dyDescent="0.35">
      <c r="A393" s="8">
        <v>389</v>
      </c>
      <c r="B393" s="11" t="s">
        <v>19</v>
      </c>
      <c r="C393" s="8">
        <v>0.8</v>
      </c>
      <c r="D393" s="8">
        <v>0.2</v>
      </c>
      <c r="E393" s="8">
        <v>5.4930000000000003</v>
      </c>
      <c r="F393" s="8">
        <v>84.980999999999995</v>
      </c>
      <c r="G393" s="8">
        <v>4.55</v>
      </c>
      <c r="H393" s="8"/>
    </row>
    <row r="394" spans="1:8" x14ac:dyDescent="0.35">
      <c r="A394" s="8">
        <v>390</v>
      </c>
      <c r="B394" s="11" t="s">
        <v>19</v>
      </c>
      <c r="C394" s="8">
        <v>0.8</v>
      </c>
      <c r="D394" s="8">
        <v>0.3</v>
      </c>
      <c r="E394" s="8">
        <v>5.7370000000000001</v>
      </c>
      <c r="F394" s="8">
        <v>91.957999999999998</v>
      </c>
      <c r="G394" s="8">
        <v>4.7720000000000002</v>
      </c>
      <c r="H394" s="8"/>
    </row>
    <row r="395" spans="1:8" x14ac:dyDescent="0.35">
      <c r="A395" s="8">
        <v>391</v>
      </c>
      <c r="B395" s="11" t="s">
        <v>19</v>
      </c>
      <c r="C395" s="8">
        <v>0.8</v>
      </c>
      <c r="D395" s="8">
        <v>0.4</v>
      </c>
      <c r="E395" s="8">
        <v>5.8659999999999997</v>
      </c>
      <c r="F395" s="8">
        <v>97.516000000000005</v>
      </c>
      <c r="G395" s="8">
        <v>4.8920000000000003</v>
      </c>
      <c r="H395" s="8"/>
    </row>
    <row r="396" spans="1:8" x14ac:dyDescent="0.35">
      <c r="A396" s="8">
        <v>392</v>
      </c>
      <c r="B396" s="11" t="s">
        <v>19</v>
      </c>
      <c r="C396" s="8">
        <v>0.8</v>
      </c>
      <c r="D396" s="8">
        <v>0.5</v>
      </c>
      <c r="E396" s="8">
        <v>6.0229999999999997</v>
      </c>
      <c r="F396" s="8">
        <v>101.67</v>
      </c>
      <c r="G396" s="8">
        <v>5.0330000000000004</v>
      </c>
      <c r="H396" s="8"/>
    </row>
    <row r="397" spans="1:8" x14ac:dyDescent="0.35">
      <c r="A397" s="8">
        <v>393</v>
      </c>
      <c r="B397" s="11" t="s">
        <v>19</v>
      </c>
      <c r="C397" s="8">
        <v>0.8</v>
      </c>
      <c r="D397" s="8">
        <v>0.6</v>
      </c>
      <c r="E397" s="8">
        <v>6.1449999999999996</v>
      </c>
      <c r="F397" s="8">
        <v>104.68899999999999</v>
      </c>
      <c r="G397" s="8">
        <v>5.14</v>
      </c>
      <c r="H397" s="8"/>
    </row>
    <row r="398" spans="1:8" x14ac:dyDescent="0.35">
      <c r="A398" s="8">
        <v>394</v>
      </c>
      <c r="B398" s="11" t="s">
        <v>19</v>
      </c>
      <c r="C398" s="8">
        <v>0.8</v>
      </c>
      <c r="D398" s="8">
        <v>0.7</v>
      </c>
      <c r="E398" s="8">
        <v>6.2469999999999999</v>
      </c>
      <c r="F398" s="8">
        <v>106.88500000000001</v>
      </c>
      <c r="G398" s="8">
        <v>5.2270000000000003</v>
      </c>
      <c r="H398" s="8"/>
    </row>
    <row r="399" spans="1:8" x14ac:dyDescent="0.35">
      <c r="A399" s="8">
        <v>395</v>
      </c>
      <c r="B399" s="11" t="s">
        <v>19</v>
      </c>
      <c r="C399" s="8">
        <v>0.8</v>
      </c>
      <c r="D399" s="8">
        <v>0.8</v>
      </c>
      <c r="E399" s="8">
        <v>6.31</v>
      </c>
      <c r="F399" s="8">
        <v>108.56699999999999</v>
      </c>
      <c r="G399" s="8">
        <v>5.28</v>
      </c>
      <c r="H399" s="8"/>
    </row>
    <row r="400" spans="1:8" x14ac:dyDescent="0.35">
      <c r="A400" s="8">
        <v>396</v>
      </c>
      <c r="B400" s="11" t="s">
        <v>19</v>
      </c>
      <c r="C400" s="8">
        <v>0.8</v>
      </c>
      <c r="D400" s="8">
        <v>0.9</v>
      </c>
      <c r="E400" s="8">
        <v>6.351</v>
      </c>
      <c r="F400" s="8">
        <v>110.048</v>
      </c>
      <c r="G400" s="8">
        <v>5.3150000000000004</v>
      </c>
      <c r="H400" s="8"/>
    </row>
    <row r="401" spans="1:8" x14ac:dyDescent="0.35">
      <c r="A401" s="8">
        <v>397</v>
      </c>
      <c r="B401" s="11" t="s">
        <v>19</v>
      </c>
      <c r="C401" s="8">
        <v>0.9</v>
      </c>
      <c r="D401" s="8">
        <v>0.1</v>
      </c>
      <c r="E401" s="8">
        <v>5.2949999999999999</v>
      </c>
      <c r="F401" s="8">
        <v>80.090999999999994</v>
      </c>
      <c r="G401" s="8">
        <v>4.3739999999999997</v>
      </c>
      <c r="H401" s="8"/>
    </row>
    <row r="402" spans="1:8" x14ac:dyDescent="0.35">
      <c r="A402" s="8">
        <v>398</v>
      </c>
      <c r="B402" s="11" t="s">
        <v>19</v>
      </c>
      <c r="C402" s="8">
        <v>0.9</v>
      </c>
      <c r="D402" s="8">
        <v>0.2</v>
      </c>
      <c r="E402" s="8">
        <v>5.49</v>
      </c>
      <c r="F402" s="8">
        <v>87.75</v>
      </c>
      <c r="G402" s="8">
        <v>4.5599999999999996</v>
      </c>
      <c r="H402" s="8"/>
    </row>
    <row r="403" spans="1:8" x14ac:dyDescent="0.35">
      <c r="A403" s="8">
        <v>399</v>
      </c>
      <c r="B403" s="11" t="s">
        <v>19</v>
      </c>
      <c r="C403" s="8">
        <v>0.9</v>
      </c>
      <c r="D403" s="8">
        <v>0.3</v>
      </c>
      <c r="E403" s="8">
        <v>5.6879999999999997</v>
      </c>
      <c r="F403" s="8">
        <v>94.317999999999998</v>
      </c>
      <c r="G403" s="8">
        <v>4.742</v>
      </c>
      <c r="H403" s="8"/>
    </row>
    <row r="404" spans="1:8" x14ac:dyDescent="0.35">
      <c r="A404" s="8">
        <v>400</v>
      </c>
      <c r="B404" s="11" t="s">
        <v>19</v>
      </c>
      <c r="C404" s="8">
        <v>0.9</v>
      </c>
      <c r="D404" s="8">
        <v>0.4</v>
      </c>
      <c r="E404" s="8">
        <v>5.8959999999999999</v>
      </c>
      <c r="F404" s="8">
        <v>99.564999999999998</v>
      </c>
      <c r="G404" s="8">
        <v>4.9269999999999996</v>
      </c>
      <c r="H404" s="8"/>
    </row>
    <row r="405" spans="1:8" x14ac:dyDescent="0.35">
      <c r="A405" s="8">
        <v>401</v>
      </c>
      <c r="B405" s="11" t="s">
        <v>19</v>
      </c>
      <c r="C405" s="8">
        <v>0.9</v>
      </c>
      <c r="D405" s="8">
        <v>0.5</v>
      </c>
      <c r="E405" s="8">
        <v>6.0860000000000003</v>
      </c>
      <c r="F405" s="8">
        <v>103.685</v>
      </c>
      <c r="G405" s="8">
        <v>5.09</v>
      </c>
      <c r="H405" s="8"/>
    </row>
    <row r="406" spans="1:8" x14ac:dyDescent="0.35">
      <c r="A406" s="8">
        <v>402</v>
      </c>
      <c r="B406" s="11" t="s">
        <v>19</v>
      </c>
      <c r="C406" s="8">
        <v>0.9</v>
      </c>
      <c r="D406" s="8">
        <v>0.6</v>
      </c>
      <c r="E406" s="8">
        <v>6.2229999999999999</v>
      </c>
      <c r="F406" s="8">
        <v>107.03700000000001</v>
      </c>
      <c r="G406" s="8">
        <v>5.2069999999999999</v>
      </c>
      <c r="H406" s="8"/>
    </row>
    <row r="407" spans="1:8" x14ac:dyDescent="0.35">
      <c r="A407" s="8">
        <v>403</v>
      </c>
      <c r="B407" s="11" t="s">
        <v>19</v>
      </c>
      <c r="C407" s="8">
        <v>0.9</v>
      </c>
      <c r="D407" s="8">
        <v>0.7</v>
      </c>
      <c r="E407" s="8">
        <v>6.3179999999999996</v>
      </c>
      <c r="F407" s="8">
        <v>109.999</v>
      </c>
      <c r="G407" s="8">
        <v>5.2880000000000003</v>
      </c>
      <c r="H407" s="8"/>
    </row>
    <row r="408" spans="1:8" x14ac:dyDescent="0.35">
      <c r="A408" s="8">
        <v>404</v>
      </c>
      <c r="B408" s="11" t="s">
        <v>19</v>
      </c>
      <c r="C408" s="8">
        <v>0.9</v>
      </c>
      <c r="D408" s="8">
        <v>0.8</v>
      </c>
      <c r="E408" s="8">
        <v>6.3890000000000002</v>
      </c>
      <c r="F408" s="8">
        <v>112.934</v>
      </c>
      <c r="G408" s="8">
        <v>5.3479999999999999</v>
      </c>
      <c r="H408" s="8"/>
    </row>
    <row r="409" spans="1:8" x14ac:dyDescent="0.35">
      <c r="A409" s="8">
        <v>405</v>
      </c>
      <c r="B409" s="11" t="s">
        <v>19</v>
      </c>
      <c r="C409" s="8">
        <v>0.9</v>
      </c>
      <c r="D409" s="8">
        <v>0.9</v>
      </c>
      <c r="E409" s="8">
        <v>6.4619999999999997</v>
      </c>
      <c r="F409" s="8">
        <v>116.17100000000001</v>
      </c>
      <c r="G409" s="8">
        <v>5.41</v>
      </c>
      <c r="H409" s="8"/>
    </row>
    <row r="410" spans="1:8" x14ac:dyDescent="0.35">
      <c r="A410" s="8">
        <v>406</v>
      </c>
      <c r="B410" s="11" t="s">
        <v>9</v>
      </c>
      <c r="C410" s="8">
        <v>0.1</v>
      </c>
      <c r="D410" s="8">
        <v>0.1</v>
      </c>
      <c r="E410" s="8">
        <v>6.242</v>
      </c>
      <c r="F410" s="8">
        <v>76.405000000000001</v>
      </c>
      <c r="G410" s="8">
        <v>5.6689999999999996</v>
      </c>
      <c r="H410" s="8"/>
    </row>
    <row r="411" spans="1:8" x14ac:dyDescent="0.35">
      <c r="A411" s="29">
        <v>407</v>
      </c>
      <c r="B411" s="30" t="s">
        <v>9</v>
      </c>
      <c r="C411" s="29">
        <v>0.1</v>
      </c>
      <c r="D411" s="29">
        <v>0.2</v>
      </c>
      <c r="E411" s="29">
        <v>5.0519999999999996</v>
      </c>
      <c r="F411" s="29">
        <v>53.648000000000003</v>
      </c>
      <c r="G411" s="29">
        <v>4.5549999999999997</v>
      </c>
      <c r="H411" s="29" t="s">
        <v>218</v>
      </c>
    </row>
    <row r="412" spans="1:8" x14ac:dyDescent="0.35">
      <c r="A412" s="8">
        <v>408</v>
      </c>
      <c r="B412" s="11" t="s">
        <v>9</v>
      </c>
      <c r="C412" s="8">
        <v>0.1</v>
      </c>
      <c r="D412" s="8">
        <v>0.3</v>
      </c>
      <c r="E412" s="8">
        <v>5.7850000000000001</v>
      </c>
      <c r="F412" s="8">
        <v>62.918999999999997</v>
      </c>
      <c r="G412" s="8">
        <v>5.1459999999999999</v>
      </c>
      <c r="H412" s="8"/>
    </row>
    <row r="413" spans="1:8" x14ac:dyDescent="0.35">
      <c r="A413" s="8">
        <v>409</v>
      </c>
      <c r="B413" s="11" t="s">
        <v>9</v>
      </c>
      <c r="C413" s="8">
        <v>0.1</v>
      </c>
      <c r="D413" s="8">
        <v>0.4</v>
      </c>
      <c r="E413" s="8">
        <v>8.1280000000000001</v>
      </c>
      <c r="F413" s="8">
        <v>105.56699999999999</v>
      </c>
      <c r="G413" s="8">
        <v>7.1159999999999997</v>
      </c>
      <c r="H413" s="8"/>
    </row>
    <row r="414" spans="1:8" x14ac:dyDescent="0.35">
      <c r="A414" s="8">
        <v>410</v>
      </c>
      <c r="B414" s="11" t="s">
        <v>9</v>
      </c>
      <c r="C414" s="8">
        <v>0.1</v>
      </c>
      <c r="D414" s="8">
        <v>0.5</v>
      </c>
      <c r="E414" s="8">
        <v>9.7360000000000007</v>
      </c>
      <c r="F414" s="8">
        <v>133.25700000000001</v>
      </c>
      <c r="G414" s="8">
        <v>8.4879999999999995</v>
      </c>
      <c r="H414" s="8"/>
    </row>
    <row r="415" spans="1:8" x14ac:dyDescent="0.35">
      <c r="A415" s="8">
        <v>411</v>
      </c>
      <c r="B415" s="11" t="s">
        <v>9</v>
      </c>
      <c r="C415" s="8">
        <v>0.1</v>
      </c>
      <c r="D415" s="8">
        <v>0.6</v>
      </c>
      <c r="E415" s="8">
        <v>8.7929999999999993</v>
      </c>
      <c r="F415" s="8">
        <v>114.83799999999999</v>
      </c>
      <c r="G415" s="8">
        <v>7.673</v>
      </c>
      <c r="H415" s="8"/>
    </row>
    <row r="416" spans="1:8" x14ac:dyDescent="0.35">
      <c r="A416" s="8">
        <v>412</v>
      </c>
      <c r="B416" s="11" t="s">
        <v>9</v>
      </c>
      <c r="C416" s="8">
        <v>0.1</v>
      </c>
      <c r="D416" s="8">
        <v>0.7</v>
      </c>
      <c r="E416" s="8">
        <v>9.2789999999999999</v>
      </c>
      <c r="F416" s="8">
        <v>122.247</v>
      </c>
      <c r="G416" s="8">
        <v>8.06</v>
      </c>
      <c r="H416" s="8"/>
    </row>
    <row r="417" spans="1:8" x14ac:dyDescent="0.35">
      <c r="A417" s="8">
        <v>413</v>
      </c>
      <c r="B417" s="11" t="s">
        <v>9</v>
      </c>
      <c r="C417" s="8">
        <v>0.1</v>
      </c>
      <c r="D417" s="8">
        <v>0.8</v>
      </c>
      <c r="E417" s="8">
        <v>9.516</v>
      </c>
      <c r="F417" s="8">
        <v>140.19300000000001</v>
      </c>
      <c r="G417" s="8">
        <v>8.1920000000000002</v>
      </c>
      <c r="H417" s="8"/>
    </row>
    <row r="418" spans="1:8" x14ac:dyDescent="0.35">
      <c r="A418" s="8">
        <v>414</v>
      </c>
      <c r="B418" s="11" t="s">
        <v>9</v>
      </c>
      <c r="C418" s="8">
        <v>0.1</v>
      </c>
      <c r="D418" s="8">
        <v>0.9</v>
      </c>
      <c r="E418" s="8">
        <v>8.5730000000000004</v>
      </c>
      <c r="F418" s="8">
        <v>131.70500000000001</v>
      </c>
      <c r="G418" s="8">
        <v>7.2939999999999996</v>
      </c>
      <c r="H418" s="8"/>
    </row>
    <row r="419" spans="1:8" x14ac:dyDescent="0.35">
      <c r="A419" s="8">
        <v>415</v>
      </c>
      <c r="B419" s="11" t="s">
        <v>9</v>
      </c>
      <c r="C419" s="8">
        <v>0.2</v>
      </c>
      <c r="D419" s="8">
        <v>0.1</v>
      </c>
      <c r="E419" s="8">
        <v>5.6239999999999997</v>
      </c>
      <c r="F419" s="8">
        <v>60.127000000000002</v>
      </c>
      <c r="G419" s="8">
        <v>5.0209999999999999</v>
      </c>
      <c r="H419" s="8"/>
    </row>
    <row r="420" spans="1:8" x14ac:dyDescent="0.35">
      <c r="A420" s="8">
        <v>416</v>
      </c>
      <c r="B420" s="11" t="s">
        <v>9</v>
      </c>
      <c r="C420" s="8">
        <v>0.2</v>
      </c>
      <c r="D420" s="8">
        <v>0.2</v>
      </c>
      <c r="E420" s="8">
        <v>6.18</v>
      </c>
      <c r="F420" s="8">
        <v>69.302999999999997</v>
      </c>
      <c r="G420" s="8">
        <v>5.4450000000000003</v>
      </c>
      <c r="H420" s="8"/>
    </row>
    <row r="421" spans="1:8" x14ac:dyDescent="0.35">
      <c r="A421" s="8">
        <v>417</v>
      </c>
      <c r="B421" s="11" t="s">
        <v>9</v>
      </c>
      <c r="C421" s="8">
        <v>0.2</v>
      </c>
      <c r="D421" s="8">
        <v>0.3</v>
      </c>
      <c r="E421" s="8">
        <v>6.6929999999999996</v>
      </c>
      <c r="F421" s="8">
        <v>80.575999999999993</v>
      </c>
      <c r="G421" s="8">
        <v>5.8460000000000001</v>
      </c>
      <c r="H421" s="8"/>
    </row>
    <row r="422" spans="1:8" x14ac:dyDescent="0.35">
      <c r="A422" s="8">
        <v>418</v>
      </c>
      <c r="B422" s="11" t="s">
        <v>9</v>
      </c>
      <c r="C422" s="8">
        <v>0.2</v>
      </c>
      <c r="D422" s="8">
        <v>0.4</v>
      </c>
      <c r="E422" s="8">
        <v>6.532</v>
      </c>
      <c r="F422" s="8">
        <v>84.412000000000006</v>
      </c>
      <c r="G422" s="8">
        <v>5.6740000000000004</v>
      </c>
      <c r="H422" s="8"/>
    </row>
    <row r="423" spans="1:8" x14ac:dyDescent="0.35">
      <c r="A423" s="8">
        <v>419</v>
      </c>
      <c r="B423" s="11" t="s">
        <v>9</v>
      </c>
      <c r="C423" s="8">
        <v>0.2</v>
      </c>
      <c r="D423" s="8">
        <v>0.5</v>
      </c>
      <c r="E423" s="8">
        <v>6.5209999999999999</v>
      </c>
      <c r="F423" s="8">
        <v>86.918000000000006</v>
      </c>
      <c r="G423" s="8">
        <v>5.63</v>
      </c>
      <c r="H423" s="8"/>
    </row>
    <row r="424" spans="1:8" x14ac:dyDescent="0.35">
      <c r="A424" s="8">
        <v>420</v>
      </c>
      <c r="B424" s="11" t="s">
        <v>9</v>
      </c>
      <c r="C424" s="8">
        <v>0.2</v>
      </c>
      <c r="D424" s="8">
        <v>0.6</v>
      </c>
      <c r="E424" s="8">
        <v>6.76</v>
      </c>
      <c r="F424" s="8">
        <v>92.694999999999993</v>
      </c>
      <c r="G424" s="8">
        <v>5.8109999999999999</v>
      </c>
      <c r="H424" s="8"/>
    </row>
    <row r="425" spans="1:8" x14ac:dyDescent="0.35">
      <c r="A425" s="8">
        <v>421</v>
      </c>
      <c r="B425" s="11" t="s">
        <v>9</v>
      </c>
      <c r="C425" s="8">
        <v>0.2</v>
      </c>
      <c r="D425" s="8">
        <v>0.7</v>
      </c>
      <c r="E425" s="8">
        <v>7.3140000000000001</v>
      </c>
      <c r="F425" s="8">
        <v>103.301</v>
      </c>
      <c r="G425" s="8">
        <v>6.2709999999999999</v>
      </c>
      <c r="H425" s="8"/>
    </row>
    <row r="426" spans="1:8" x14ac:dyDescent="0.35">
      <c r="A426" s="8">
        <v>422</v>
      </c>
      <c r="B426" s="11" t="s">
        <v>9</v>
      </c>
      <c r="C426" s="8">
        <v>0.2</v>
      </c>
      <c r="D426" s="8">
        <v>0.8</v>
      </c>
      <c r="E426" s="8">
        <v>7.883</v>
      </c>
      <c r="F426" s="8">
        <v>115.53100000000001</v>
      </c>
      <c r="G426" s="8">
        <v>6.7629999999999999</v>
      </c>
      <c r="H426" s="8"/>
    </row>
    <row r="427" spans="1:8" x14ac:dyDescent="0.35">
      <c r="A427" s="8">
        <v>423</v>
      </c>
      <c r="B427" s="11" t="s">
        <v>9</v>
      </c>
      <c r="C427" s="8">
        <v>0.2</v>
      </c>
      <c r="D427" s="8">
        <v>0.9</v>
      </c>
      <c r="E427" s="8">
        <v>8.2309999999999999</v>
      </c>
      <c r="F427" s="8">
        <v>125.089</v>
      </c>
      <c r="G427" s="8">
        <v>7.0789999999999997</v>
      </c>
      <c r="H427" s="8"/>
    </row>
    <row r="428" spans="1:8" x14ac:dyDescent="0.35">
      <c r="A428" s="8">
        <v>424</v>
      </c>
      <c r="B428" s="11" t="s">
        <v>9</v>
      </c>
      <c r="C428" s="8">
        <v>0.3</v>
      </c>
      <c r="D428" s="8">
        <v>0.1</v>
      </c>
      <c r="E428" s="8">
        <v>5.8170000000000002</v>
      </c>
      <c r="F428" s="8">
        <v>60.811</v>
      </c>
      <c r="G428" s="8">
        <v>5.1390000000000002</v>
      </c>
      <c r="H428" s="8"/>
    </row>
    <row r="429" spans="1:8" x14ac:dyDescent="0.35">
      <c r="A429" s="8">
        <v>425</v>
      </c>
      <c r="B429" s="11" t="s">
        <v>9</v>
      </c>
      <c r="C429" s="8">
        <v>0.3</v>
      </c>
      <c r="D429" s="8">
        <v>0.2</v>
      </c>
      <c r="E429" s="8">
        <v>6.101</v>
      </c>
      <c r="F429" s="8">
        <v>67.210999999999999</v>
      </c>
      <c r="G429" s="8">
        <v>5.3419999999999996</v>
      </c>
      <c r="H429" s="8"/>
    </row>
    <row r="430" spans="1:8" x14ac:dyDescent="0.35">
      <c r="A430" s="8">
        <v>426</v>
      </c>
      <c r="B430" s="11" t="s">
        <v>9</v>
      </c>
      <c r="C430" s="8">
        <v>0.3</v>
      </c>
      <c r="D430" s="8">
        <v>0.3</v>
      </c>
      <c r="E430" s="8">
        <v>6.12</v>
      </c>
      <c r="F430" s="8">
        <v>72.025999999999996</v>
      </c>
      <c r="G430" s="8">
        <v>5.3310000000000004</v>
      </c>
      <c r="H430" s="8"/>
    </row>
    <row r="431" spans="1:8" x14ac:dyDescent="0.35">
      <c r="A431" s="8">
        <v>427</v>
      </c>
      <c r="B431" s="11" t="s">
        <v>9</v>
      </c>
      <c r="C431" s="8">
        <v>0.3</v>
      </c>
      <c r="D431" s="8">
        <v>0.4</v>
      </c>
      <c r="E431" s="8">
        <v>6.335</v>
      </c>
      <c r="F431" s="8">
        <v>76.340999999999994</v>
      </c>
      <c r="G431" s="8">
        <v>5.4980000000000002</v>
      </c>
      <c r="H431" s="8"/>
    </row>
    <row r="432" spans="1:8" x14ac:dyDescent="0.35">
      <c r="A432" s="8">
        <v>428</v>
      </c>
      <c r="B432" s="11" t="s">
        <v>9</v>
      </c>
      <c r="C432" s="8">
        <v>0.3</v>
      </c>
      <c r="D432" s="8">
        <v>0.5</v>
      </c>
      <c r="E432" s="8">
        <v>6.6680000000000001</v>
      </c>
      <c r="F432" s="8">
        <v>81.525000000000006</v>
      </c>
      <c r="G432" s="8">
        <v>5.7789999999999999</v>
      </c>
      <c r="H432" s="8"/>
    </row>
    <row r="433" spans="1:8" x14ac:dyDescent="0.35">
      <c r="A433" s="8">
        <v>429</v>
      </c>
      <c r="B433" s="11" t="s">
        <v>9</v>
      </c>
      <c r="C433" s="8">
        <v>0.3</v>
      </c>
      <c r="D433" s="8">
        <v>0.6</v>
      </c>
      <c r="E433" s="8">
        <v>7.1050000000000004</v>
      </c>
      <c r="F433" s="8">
        <v>86.372</v>
      </c>
      <c r="G433" s="8">
        <v>6.1529999999999996</v>
      </c>
      <c r="H433" s="8"/>
    </row>
    <row r="434" spans="1:8" x14ac:dyDescent="0.35">
      <c r="A434" s="8">
        <v>430</v>
      </c>
      <c r="B434" s="11" t="s">
        <v>9</v>
      </c>
      <c r="C434" s="8">
        <v>0.3</v>
      </c>
      <c r="D434" s="8">
        <v>0.7</v>
      </c>
      <c r="E434" s="8">
        <v>7.5419999999999998</v>
      </c>
      <c r="F434" s="8">
        <v>90.064999999999998</v>
      </c>
      <c r="G434" s="8">
        <v>6.524</v>
      </c>
      <c r="H434" s="8"/>
    </row>
    <row r="435" spans="1:8" x14ac:dyDescent="0.35">
      <c r="A435" s="8">
        <v>431</v>
      </c>
      <c r="B435" s="11" t="s">
        <v>9</v>
      </c>
      <c r="C435" s="8">
        <v>0.3</v>
      </c>
      <c r="D435" s="8">
        <v>0.8</v>
      </c>
      <c r="E435" s="8">
        <v>8.0370000000000008</v>
      </c>
      <c r="F435" s="8">
        <v>93.093999999999994</v>
      </c>
      <c r="G435" s="8">
        <v>6.9390000000000001</v>
      </c>
      <c r="H435" s="8"/>
    </row>
    <row r="436" spans="1:8" x14ac:dyDescent="0.35">
      <c r="A436" s="8">
        <v>432</v>
      </c>
      <c r="B436" s="11" t="s">
        <v>9</v>
      </c>
      <c r="C436" s="8">
        <v>0.3</v>
      </c>
      <c r="D436" s="8">
        <v>0.9</v>
      </c>
      <c r="E436" s="8">
        <v>8.4689999999999994</v>
      </c>
      <c r="F436" s="8">
        <v>96.12</v>
      </c>
      <c r="G436" s="8">
        <v>7.3090000000000002</v>
      </c>
      <c r="H436" s="8"/>
    </row>
    <row r="437" spans="1:8" x14ac:dyDescent="0.35">
      <c r="A437" s="8">
        <v>433</v>
      </c>
      <c r="B437" s="11" t="s">
        <v>9</v>
      </c>
      <c r="C437" s="8">
        <v>0.4</v>
      </c>
      <c r="D437" s="8">
        <v>0.1</v>
      </c>
      <c r="E437" s="8">
        <v>5.718</v>
      </c>
      <c r="F437" s="8">
        <v>58.970999999999997</v>
      </c>
      <c r="G437" s="8">
        <v>5.0359999999999996</v>
      </c>
      <c r="H437" s="8"/>
    </row>
    <row r="438" spans="1:8" x14ac:dyDescent="0.35">
      <c r="A438" s="8">
        <v>434</v>
      </c>
      <c r="B438" s="11" t="s">
        <v>9</v>
      </c>
      <c r="C438" s="8">
        <v>0.4</v>
      </c>
      <c r="D438" s="8">
        <v>0.2</v>
      </c>
      <c r="E438" s="8">
        <v>5.8920000000000003</v>
      </c>
      <c r="F438" s="8">
        <v>63.284999999999997</v>
      </c>
      <c r="G438" s="8">
        <v>5.1550000000000002</v>
      </c>
      <c r="H438" s="8"/>
    </row>
    <row r="439" spans="1:8" x14ac:dyDescent="0.35">
      <c r="A439" s="8">
        <v>435</v>
      </c>
      <c r="B439" s="11" t="s">
        <v>9</v>
      </c>
      <c r="C439" s="8">
        <v>0.4</v>
      </c>
      <c r="D439" s="8">
        <v>0.3</v>
      </c>
      <c r="E439" s="8">
        <v>6.0570000000000004</v>
      </c>
      <c r="F439" s="8">
        <v>66.978999999999999</v>
      </c>
      <c r="G439" s="8">
        <v>5.282</v>
      </c>
      <c r="H439" s="8"/>
    </row>
    <row r="440" spans="1:8" x14ac:dyDescent="0.35">
      <c r="A440" s="8">
        <v>436</v>
      </c>
      <c r="B440" s="11" t="s">
        <v>9</v>
      </c>
      <c r="C440" s="8">
        <v>0.4</v>
      </c>
      <c r="D440" s="8">
        <v>0.4</v>
      </c>
      <c r="E440" s="8">
        <v>6.3710000000000004</v>
      </c>
      <c r="F440" s="8">
        <v>70.557000000000002</v>
      </c>
      <c r="G440" s="8">
        <v>5.5469999999999997</v>
      </c>
      <c r="H440" s="8"/>
    </row>
    <row r="441" spans="1:8" x14ac:dyDescent="0.35">
      <c r="A441" s="8">
        <v>437</v>
      </c>
      <c r="B441" s="11" t="s">
        <v>9</v>
      </c>
      <c r="C441" s="8">
        <v>0.4</v>
      </c>
      <c r="D441" s="8">
        <v>0.5</v>
      </c>
      <c r="E441" s="8">
        <v>6.8719999999999999</v>
      </c>
      <c r="F441" s="8">
        <v>73.98</v>
      </c>
      <c r="G441" s="8">
        <v>5.9690000000000003</v>
      </c>
      <c r="H441" s="8"/>
    </row>
    <row r="442" spans="1:8" x14ac:dyDescent="0.35">
      <c r="A442" s="8">
        <v>438</v>
      </c>
      <c r="B442" s="11" t="s">
        <v>9</v>
      </c>
      <c r="C442" s="8">
        <v>0.4</v>
      </c>
      <c r="D442" s="8">
        <v>0.6</v>
      </c>
      <c r="E442" s="8">
        <v>7.3250000000000002</v>
      </c>
      <c r="F442" s="8">
        <v>77.149000000000001</v>
      </c>
      <c r="G442" s="8">
        <v>6.3529999999999998</v>
      </c>
      <c r="H442" s="8"/>
    </row>
    <row r="443" spans="1:8" x14ac:dyDescent="0.35">
      <c r="A443" s="8">
        <v>439</v>
      </c>
      <c r="B443" s="11" t="s">
        <v>9</v>
      </c>
      <c r="C443" s="8">
        <v>0.4</v>
      </c>
      <c r="D443" s="8">
        <v>0.7</v>
      </c>
      <c r="E443" s="8">
        <v>7.5990000000000002</v>
      </c>
      <c r="F443" s="8">
        <v>80.191000000000003</v>
      </c>
      <c r="G443" s="8">
        <v>6.5910000000000002</v>
      </c>
      <c r="H443" s="8"/>
    </row>
    <row r="444" spans="1:8" x14ac:dyDescent="0.35">
      <c r="A444" s="8">
        <v>440</v>
      </c>
      <c r="B444" s="11" t="s">
        <v>9</v>
      </c>
      <c r="C444" s="8">
        <v>0.4</v>
      </c>
      <c r="D444" s="8">
        <v>0.8</v>
      </c>
      <c r="E444" s="8">
        <v>7.7439999999999998</v>
      </c>
      <c r="F444" s="8">
        <v>83.072999999999993</v>
      </c>
      <c r="G444" s="8">
        <v>6.7210000000000001</v>
      </c>
      <c r="H444" s="8"/>
    </row>
    <row r="445" spans="1:8" x14ac:dyDescent="0.35">
      <c r="A445" s="8">
        <v>441</v>
      </c>
      <c r="B445" s="11" t="s">
        <v>9</v>
      </c>
      <c r="C445" s="8">
        <v>0.4</v>
      </c>
      <c r="D445" s="8">
        <v>0.9</v>
      </c>
      <c r="E445" s="8">
        <v>7.8120000000000003</v>
      </c>
      <c r="F445" s="8">
        <v>85.63</v>
      </c>
      <c r="G445" s="8">
        <v>6.7830000000000004</v>
      </c>
      <c r="H445" s="8"/>
    </row>
    <row r="446" spans="1:8" x14ac:dyDescent="0.35">
      <c r="A446" s="8">
        <v>442</v>
      </c>
      <c r="B446" s="11" t="s">
        <v>9</v>
      </c>
      <c r="C446" s="8">
        <v>0.5</v>
      </c>
      <c r="D446" s="8">
        <v>0.1</v>
      </c>
      <c r="E446" s="8">
        <v>5.59</v>
      </c>
      <c r="F446" s="8">
        <v>56.195</v>
      </c>
      <c r="G446" s="8">
        <v>4.9189999999999996</v>
      </c>
      <c r="H446" s="8"/>
    </row>
    <row r="447" spans="1:8" x14ac:dyDescent="0.35">
      <c r="A447" s="8">
        <v>443</v>
      </c>
      <c r="B447" s="11" t="s">
        <v>9</v>
      </c>
      <c r="C447" s="8">
        <v>0.5</v>
      </c>
      <c r="D447" s="8">
        <v>0.2</v>
      </c>
      <c r="E447" s="8">
        <v>5.7450000000000001</v>
      </c>
      <c r="F447" s="8">
        <v>59.459000000000003</v>
      </c>
      <c r="G447" s="8">
        <v>5.03</v>
      </c>
      <c r="H447" s="8"/>
    </row>
    <row r="448" spans="1:8" x14ac:dyDescent="0.35">
      <c r="A448" s="8">
        <v>444</v>
      </c>
      <c r="B448" s="11" t="s">
        <v>9</v>
      </c>
      <c r="C448" s="8">
        <v>0.5</v>
      </c>
      <c r="D448" s="8">
        <v>0.3</v>
      </c>
      <c r="E448" s="8">
        <v>6.056</v>
      </c>
      <c r="F448" s="8">
        <v>62.460999999999999</v>
      </c>
      <c r="G448" s="8">
        <v>5.282</v>
      </c>
      <c r="H448" s="8"/>
    </row>
    <row r="449" spans="1:8" x14ac:dyDescent="0.35">
      <c r="A449" s="8">
        <v>445</v>
      </c>
      <c r="B449" s="11" t="s">
        <v>9</v>
      </c>
      <c r="C449" s="8">
        <v>0.5</v>
      </c>
      <c r="D449" s="8">
        <v>0.4</v>
      </c>
      <c r="E449" s="8">
        <v>6.452</v>
      </c>
      <c r="F449" s="8">
        <v>65.376999999999995</v>
      </c>
      <c r="G449" s="8">
        <v>5.6120000000000001</v>
      </c>
      <c r="H449" s="8"/>
    </row>
    <row r="450" spans="1:8" x14ac:dyDescent="0.35">
      <c r="A450" s="8">
        <v>446</v>
      </c>
      <c r="B450" s="11" t="s">
        <v>9</v>
      </c>
      <c r="C450" s="8">
        <v>0.5</v>
      </c>
      <c r="D450" s="8">
        <v>0.5</v>
      </c>
      <c r="E450" s="8">
        <v>6.7539999999999996</v>
      </c>
      <c r="F450" s="8">
        <v>68.210999999999999</v>
      </c>
      <c r="G450" s="8">
        <v>5.867</v>
      </c>
      <c r="H450" s="8"/>
    </row>
    <row r="451" spans="1:8" x14ac:dyDescent="0.35">
      <c r="A451" s="8">
        <v>447</v>
      </c>
      <c r="B451" s="11" t="s">
        <v>9</v>
      </c>
      <c r="C451" s="8">
        <v>0.5</v>
      </c>
      <c r="D451" s="8">
        <v>0.6</v>
      </c>
      <c r="E451" s="8">
        <v>6.9420000000000002</v>
      </c>
      <c r="F451" s="8">
        <v>70.903000000000006</v>
      </c>
      <c r="G451" s="8">
        <v>6.0279999999999996</v>
      </c>
      <c r="H451" s="8"/>
    </row>
    <row r="452" spans="1:8" x14ac:dyDescent="0.35">
      <c r="A452" s="8">
        <v>448</v>
      </c>
      <c r="B452" s="11" t="s">
        <v>9</v>
      </c>
      <c r="C452" s="8">
        <v>0.5</v>
      </c>
      <c r="D452" s="8">
        <v>0.7</v>
      </c>
      <c r="E452" s="8">
        <v>7.0919999999999996</v>
      </c>
      <c r="F452" s="8">
        <v>73.369</v>
      </c>
      <c r="G452" s="8">
        <v>6.1529999999999996</v>
      </c>
      <c r="H452" s="8"/>
    </row>
    <row r="453" spans="1:8" x14ac:dyDescent="0.35">
      <c r="A453" s="8">
        <v>449</v>
      </c>
      <c r="B453" s="11" t="s">
        <v>9</v>
      </c>
      <c r="C453" s="8">
        <v>0.5</v>
      </c>
      <c r="D453" s="8">
        <v>0.8</v>
      </c>
      <c r="E453" s="8">
        <v>7.1390000000000002</v>
      </c>
      <c r="F453" s="8">
        <v>75.56</v>
      </c>
      <c r="G453" s="8">
        <v>6.19</v>
      </c>
      <c r="H453" s="8"/>
    </row>
    <row r="454" spans="1:8" x14ac:dyDescent="0.35">
      <c r="A454" s="8">
        <v>450</v>
      </c>
      <c r="B454" s="11" t="s">
        <v>9</v>
      </c>
      <c r="C454" s="8">
        <v>0.5</v>
      </c>
      <c r="D454" s="8">
        <v>0.9</v>
      </c>
      <c r="E454" s="8">
        <v>7.3120000000000003</v>
      </c>
      <c r="F454" s="8">
        <v>77.551000000000002</v>
      </c>
      <c r="G454" s="8">
        <v>6.3330000000000002</v>
      </c>
      <c r="H454" s="8"/>
    </row>
    <row r="455" spans="1:8" x14ac:dyDescent="0.35">
      <c r="A455" s="8">
        <v>451</v>
      </c>
      <c r="B455" s="11" t="s">
        <v>9</v>
      </c>
      <c r="C455" s="8">
        <v>0.6</v>
      </c>
      <c r="D455" s="8">
        <v>0.1</v>
      </c>
      <c r="E455" s="8">
        <v>5.5259999999999998</v>
      </c>
      <c r="F455" s="8">
        <v>53.101999999999997</v>
      </c>
      <c r="G455" s="8">
        <v>4.8520000000000003</v>
      </c>
      <c r="H455" s="8"/>
    </row>
    <row r="456" spans="1:8" x14ac:dyDescent="0.35">
      <c r="A456" s="8">
        <v>452</v>
      </c>
      <c r="B456" s="11" t="s">
        <v>9</v>
      </c>
      <c r="C456" s="8">
        <v>0.6</v>
      </c>
      <c r="D456" s="8">
        <v>0.2</v>
      </c>
      <c r="E456" s="8">
        <v>5.76</v>
      </c>
      <c r="F456" s="8">
        <v>55.701999999999998</v>
      </c>
      <c r="G456" s="8">
        <v>5.0309999999999997</v>
      </c>
      <c r="H456" s="8"/>
    </row>
    <row r="457" spans="1:8" x14ac:dyDescent="0.35">
      <c r="A457" s="8">
        <v>453</v>
      </c>
      <c r="B457" s="11" t="s">
        <v>9</v>
      </c>
      <c r="C457" s="8">
        <v>0.6</v>
      </c>
      <c r="D457" s="8">
        <v>0.3</v>
      </c>
      <c r="E457" s="8">
        <v>6.0640000000000001</v>
      </c>
      <c r="F457" s="8">
        <v>58.192</v>
      </c>
      <c r="G457" s="8">
        <v>5.2770000000000001</v>
      </c>
      <c r="H457" s="8"/>
    </row>
    <row r="458" spans="1:8" x14ac:dyDescent="0.35">
      <c r="A458" s="8">
        <v>454</v>
      </c>
      <c r="B458" s="11" t="s">
        <v>9</v>
      </c>
      <c r="C458" s="8">
        <v>0.6</v>
      </c>
      <c r="D458" s="8">
        <v>0.4</v>
      </c>
      <c r="E458" s="8">
        <v>6.3140000000000001</v>
      </c>
      <c r="F458" s="8">
        <v>60.610999999999997</v>
      </c>
      <c r="G458" s="8">
        <v>5.484</v>
      </c>
      <c r="H458" s="8"/>
    </row>
    <row r="459" spans="1:8" x14ac:dyDescent="0.35">
      <c r="A459" s="8">
        <v>455</v>
      </c>
      <c r="B459" s="11" t="s">
        <v>9</v>
      </c>
      <c r="C459" s="8">
        <v>0.6</v>
      </c>
      <c r="D459" s="8">
        <v>0.5</v>
      </c>
      <c r="E459" s="8">
        <v>6.4880000000000004</v>
      </c>
      <c r="F459" s="8">
        <v>62.902000000000001</v>
      </c>
      <c r="G459" s="8">
        <v>5.6269999999999998</v>
      </c>
      <c r="H459" s="8"/>
    </row>
    <row r="460" spans="1:8" x14ac:dyDescent="0.35">
      <c r="A460" s="8">
        <v>456</v>
      </c>
      <c r="B460" s="11" t="s">
        <v>9</v>
      </c>
      <c r="C460" s="8">
        <v>0.6</v>
      </c>
      <c r="D460" s="8">
        <v>0.6</v>
      </c>
      <c r="E460" s="8">
        <v>6.6130000000000004</v>
      </c>
      <c r="F460" s="8">
        <v>64.98</v>
      </c>
      <c r="G460" s="8">
        <v>5.7279999999999998</v>
      </c>
      <c r="H460" s="8"/>
    </row>
    <row r="461" spans="1:8" x14ac:dyDescent="0.35">
      <c r="A461" s="8">
        <v>457</v>
      </c>
      <c r="B461" s="11" t="s">
        <v>9</v>
      </c>
      <c r="C461" s="8">
        <v>0.6</v>
      </c>
      <c r="D461" s="8">
        <v>0.7</v>
      </c>
      <c r="E461" s="8">
        <v>6.8239999999999998</v>
      </c>
      <c r="F461" s="8">
        <v>66.819999999999993</v>
      </c>
      <c r="G461" s="8">
        <v>5.9</v>
      </c>
      <c r="H461" s="8"/>
    </row>
    <row r="462" spans="1:8" x14ac:dyDescent="0.35">
      <c r="A462" s="8">
        <v>458</v>
      </c>
      <c r="B462" s="11" t="s">
        <v>9</v>
      </c>
      <c r="C462" s="8">
        <v>0.6</v>
      </c>
      <c r="D462" s="8">
        <v>0.8</v>
      </c>
      <c r="E462" s="8">
        <v>6.9640000000000004</v>
      </c>
      <c r="F462" s="8">
        <v>68.466999999999999</v>
      </c>
      <c r="G462" s="8">
        <v>6.0090000000000003</v>
      </c>
      <c r="H462" s="8"/>
    </row>
    <row r="463" spans="1:8" x14ac:dyDescent="0.35">
      <c r="A463" s="8">
        <v>459</v>
      </c>
      <c r="B463" s="11" t="s">
        <v>9</v>
      </c>
      <c r="C463" s="8">
        <v>0.6</v>
      </c>
      <c r="D463" s="8">
        <v>0.9</v>
      </c>
      <c r="E463" s="8">
        <v>7.0679999999999996</v>
      </c>
      <c r="F463" s="8">
        <v>69.974999999999994</v>
      </c>
      <c r="G463" s="8">
        <v>6.0830000000000002</v>
      </c>
      <c r="H463" s="8"/>
    </row>
    <row r="464" spans="1:8" x14ac:dyDescent="0.35">
      <c r="A464" s="8">
        <v>460</v>
      </c>
      <c r="B464" s="11" t="s">
        <v>9</v>
      </c>
      <c r="C464" s="8">
        <v>0.7</v>
      </c>
      <c r="D464" s="8">
        <v>0.1</v>
      </c>
      <c r="E464" s="8">
        <v>5.5090000000000003</v>
      </c>
      <c r="F464" s="8">
        <v>49.915999999999997</v>
      </c>
      <c r="G464" s="8">
        <v>4.8209999999999997</v>
      </c>
      <c r="H464" s="8"/>
    </row>
    <row r="465" spans="1:8" x14ac:dyDescent="0.35">
      <c r="A465" s="8">
        <v>461</v>
      </c>
      <c r="B465" s="11" t="s">
        <v>9</v>
      </c>
      <c r="C465" s="8">
        <v>0.7</v>
      </c>
      <c r="D465" s="8">
        <v>0.2</v>
      </c>
      <c r="E465" s="8">
        <v>5.7240000000000002</v>
      </c>
      <c r="F465" s="8">
        <v>51.991999999999997</v>
      </c>
      <c r="G465" s="8">
        <v>4.9850000000000003</v>
      </c>
      <c r="H465" s="8"/>
    </row>
    <row r="466" spans="1:8" x14ac:dyDescent="0.35">
      <c r="A466" s="8">
        <v>462</v>
      </c>
      <c r="B466" s="11" t="s">
        <v>9</v>
      </c>
      <c r="C466" s="8">
        <v>0.7</v>
      </c>
      <c r="D466" s="8">
        <v>0.3</v>
      </c>
      <c r="E466" s="8">
        <v>5.9560000000000004</v>
      </c>
      <c r="F466" s="8">
        <v>53.991999999999997</v>
      </c>
      <c r="G466" s="8">
        <v>5.17</v>
      </c>
      <c r="H466" s="8"/>
    </row>
    <row r="467" spans="1:8" x14ac:dyDescent="0.35">
      <c r="A467" s="8">
        <v>463</v>
      </c>
      <c r="B467" s="11" t="s">
        <v>9</v>
      </c>
      <c r="C467" s="8">
        <v>0.7</v>
      </c>
      <c r="D467" s="8">
        <v>0.4</v>
      </c>
      <c r="E467" s="8">
        <v>6.1130000000000004</v>
      </c>
      <c r="F467" s="8">
        <v>55.87</v>
      </c>
      <c r="G467" s="8">
        <v>5.2939999999999996</v>
      </c>
      <c r="H467" s="8"/>
    </row>
    <row r="468" spans="1:8" x14ac:dyDescent="0.35">
      <c r="A468" s="8">
        <v>464</v>
      </c>
      <c r="B468" s="11" t="s">
        <v>9</v>
      </c>
      <c r="C468" s="8">
        <v>0.7</v>
      </c>
      <c r="D468" s="8">
        <v>0.5</v>
      </c>
      <c r="E468" s="8">
        <v>6.2640000000000002</v>
      </c>
      <c r="F468" s="8">
        <v>57.542000000000002</v>
      </c>
      <c r="G468" s="8">
        <v>5.415</v>
      </c>
      <c r="H468" s="8"/>
    </row>
    <row r="469" spans="1:8" x14ac:dyDescent="0.35">
      <c r="A469" s="8">
        <v>465</v>
      </c>
      <c r="B469" s="11" t="s">
        <v>9</v>
      </c>
      <c r="C469" s="8">
        <v>0.7</v>
      </c>
      <c r="D469" s="8">
        <v>0.6</v>
      </c>
      <c r="E469" s="8">
        <v>6.4</v>
      </c>
      <c r="F469" s="8">
        <v>58.942999999999998</v>
      </c>
      <c r="G469" s="8">
        <v>5.5220000000000002</v>
      </c>
      <c r="H469" s="8"/>
    </row>
    <row r="470" spans="1:8" x14ac:dyDescent="0.35">
      <c r="A470" s="8">
        <v>466</v>
      </c>
      <c r="B470" s="11" t="s">
        <v>9</v>
      </c>
      <c r="C470" s="8">
        <v>0.7</v>
      </c>
      <c r="D470" s="8">
        <v>0.7</v>
      </c>
      <c r="E470" s="8">
        <v>6.4640000000000004</v>
      </c>
      <c r="F470" s="8">
        <v>60.055999999999997</v>
      </c>
      <c r="G470" s="8">
        <v>5.5650000000000004</v>
      </c>
      <c r="H470" s="8"/>
    </row>
    <row r="471" spans="1:8" x14ac:dyDescent="0.35">
      <c r="A471" s="8">
        <v>467</v>
      </c>
      <c r="B471" s="11" t="s">
        <v>9</v>
      </c>
      <c r="C471" s="8">
        <v>0.7</v>
      </c>
      <c r="D471" s="8">
        <v>0.8</v>
      </c>
      <c r="E471" s="8">
        <v>6.47</v>
      </c>
      <c r="F471" s="8">
        <v>60.872</v>
      </c>
      <c r="G471" s="8">
        <v>5.556</v>
      </c>
      <c r="H471" s="8"/>
    </row>
    <row r="472" spans="1:8" x14ac:dyDescent="0.35">
      <c r="A472" s="8">
        <v>468</v>
      </c>
      <c r="B472" s="11" t="s">
        <v>9</v>
      </c>
      <c r="C472" s="8">
        <v>0.7</v>
      </c>
      <c r="D472" s="8">
        <v>0.9</v>
      </c>
      <c r="E472" s="8">
        <v>6.4210000000000003</v>
      </c>
      <c r="F472" s="8">
        <v>61.35</v>
      </c>
      <c r="G472" s="8">
        <v>5.5</v>
      </c>
      <c r="H472" s="8"/>
    </row>
    <row r="473" spans="1:8" x14ac:dyDescent="0.35">
      <c r="A473" s="8">
        <v>469</v>
      </c>
      <c r="B473" s="11" t="s">
        <v>9</v>
      </c>
      <c r="C473" s="8">
        <v>0.8</v>
      </c>
      <c r="D473" s="8">
        <v>0.1</v>
      </c>
      <c r="E473" s="8">
        <v>5.4349999999999996</v>
      </c>
      <c r="F473" s="8">
        <v>46.792000000000002</v>
      </c>
      <c r="G473" s="8">
        <v>4.7450000000000001</v>
      </c>
      <c r="H473" s="8"/>
    </row>
    <row r="474" spans="1:8" x14ac:dyDescent="0.35">
      <c r="A474" s="8">
        <v>470</v>
      </c>
      <c r="B474" s="11" t="s">
        <v>9</v>
      </c>
      <c r="C474" s="8">
        <v>0.8</v>
      </c>
      <c r="D474" s="8">
        <v>0.2</v>
      </c>
      <c r="E474" s="8">
        <v>5.5750000000000002</v>
      </c>
      <c r="F474" s="8">
        <v>48.408000000000001</v>
      </c>
      <c r="G474" s="8">
        <v>4.8440000000000003</v>
      </c>
      <c r="H474" s="8"/>
    </row>
    <row r="475" spans="1:8" x14ac:dyDescent="0.35">
      <c r="A475" s="8">
        <v>471</v>
      </c>
      <c r="B475" s="11" t="s">
        <v>9</v>
      </c>
      <c r="C475" s="8">
        <v>0.8</v>
      </c>
      <c r="D475" s="8">
        <v>0.3</v>
      </c>
      <c r="E475" s="8">
        <v>5.7149999999999999</v>
      </c>
      <c r="F475" s="8">
        <v>49.933</v>
      </c>
      <c r="G475" s="8">
        <v>4.9489999999999998</v>
      </c>
      <c r="H475" s="8"/>
    </row>
    <row r="476" spans="1:8" x14ac:dyDescent="0.35">
      <c r="A476" s="8">
        <v>472</v>
      </c>
      <c r="B476" s="11" t="s">
        <v>9</v>
      </c>
      <c r="C476" s="8">
        <v>0.8</v>
      </c>
      <c r="D476" s="8">
        <v>0.4</v>
      </c>
      <c r="E476" s="8">
        <v>5.8440000000000003</v>
      </c>
      <c r="F476" s="8">
        <v>51.277000000000001</v>
      </c>
      <c r="G476" s="8">
        <v>5.05</v>
      </c>
      <c r="H476" s="8"/>
    </row>
    <row r="477" spans="1:8" x14ac:dyDescent="0.35">
      <c r="A477" s="8">
        <v>473</v>
      </c>
      <c r="B477" s="11" t="s">
        <v>9</v>
      </c>
      <c r="C477" s="8">
        <v>0.8</v>
      </c>
      <c r="D477" s="8">
        <v>0.5</v>
      </c>
      <c r="E477" s="8">
        <v>5.9279999999999999</v>
      </c>
      <c r="F477" s="8">
        <v>52.362000000000002</v>
      </c>
      <c r="G477" s="8">
        <v>5.1109999999999998</v>
      </c>
      <c r="H477" s="8"/>
    </row>
    <row r="478" spans="1:8" x14ac:dyDescent="0.35">
      <c r="A478" s="8">
        <v>474</v>
      </c>
      <c r="B478" s="11" t="s">
        <v>9</v>
      </c>
      <c r="C478" s="8">
        <v>0.8</v>
      </c>
      <c r="D478" s="8">
        <v>0.6</v>
      </c>
      <c r="E478" s="8">
        <v>5.97</v>
      </c>
      <c r="F478" s="8">
        <v>53.140999999999998</v>
      </c>
      <c r="G478" s="8">
        <v>5.1349999999999998</v>
      </c>
      <c r="H478" s="8"/>
    </row>
    <row r="479" spans="1:8" x14ac:dyDescent="0.35">
      <c r="A479" s="8">
        <v>475</v>
      </c>
      <c r="B479" s="11" t="s">
        <v>9</v>
      </c>
      <c r="C479" s="8">
        <v>0.8</v>
      </c>
      <c r="D479" s="8">
        <v>0.7</v>
      </c>
      <c r="E479" s="8">
        <v>5.93</v>
      </c>
      <c r="F479" s="8">
        <v>53.606000000000002</v>
      </c>
      <c r="G479" s="8">
        <v>5.0880000000000001</v>
      </c>
      <c r="H479" s="8"/>
    </row>
    <row r="480" spans="1:8" x14ac:dyDescent="0.35">
      <c r="A480" s="8">
        <v>476</v>
      </c>
      <c r="B480" s="11" t="s">
        <v>9</v>
      </c>
      <c r="C480" s="8">
        <v>0.8</v>
      </c>
      <c r="D480" s="8">
        <v>0.8</v>
      </c>
      <c r="E480" s="8">
        <v>5.9820000000000002</v>
      </c>
      <c r="F480" s="8">
        <v>53.762999999999998</v>
      </c>
      <c r="G480" s="8">
        <v>5.1210000000000004</v>
      </c>
      <c r="H480" s="8"/>
    </row>
    <row r="481" spans="1:8" x14ac:dyDescent="0.35">
      <c r="A481" s="8">
        <v>477</v>
      </c>
      <c r="B481" s="11" t="s">
        <v>9</v>
      </c>
      <c r="C481" s="8">
        <v>0.8</v>
      </c>
      <c r="D481" s="8">
        <v>0.9</v>
      </c>
      <c r="E481" s="8">
        <v>5.98</v>
      </c>
      <c r="F481" s="8">
        <v>53.637999999999998</v>
      </c>
      <c r="G481" s="8">
        <v>5.1100000000000003</v>
      </c>
      <c r="H481" s="8"/>
    </row>
    <row r="482" spans="1:8" x14ac:dyDescent="0.35">
      <c r="A482" s="8">
        <v>478</v>
      </c>
      <c r="B482" s="11" t="s">
        <v>9</v>
      </c>
      <c r="C482" s="8">
        <v>0.9</v>
      </c>
      <c r="D482" s="8">
        <v>0.1</v>
      </c>
      <c r="E482" s="8">
        <v>5.3109999999999999</v>
      </c>
      <c r="F482" s="8">
        <v>43.893999999999998</v>
      </c>
      <c r="G482" s="8">
        <v>4.6269999999999998</v>
      </c>
      <c r="H482" s="8"/>
    </row>
    <row r="483" spans="1:8" x14ac:dyDescent="0.35">
      <c r="A483" s="8">
        <v>479</v>
      </c>
      <c r="B483" s="11" t="s">
        <v>9</v>
      </c>
      <c r="C483" s="8">
        <v>0.9</v>
      </c>
      <c r="D483" s="8">
        <v>0.2</v>
      </c>
      <c r="E483" s="8">
        <v>5.3970000000000002</v>
      </c>
      <c r="F483" s="8">
        <v>45.136000000000003</v>
      </c>
      <c r="G483" s="8">
        <v>4.681</v>
      </c>
      <c r="H483" s="8"/>
    </row>
    <row r="484" spans="1:8" x14ac:dyDescent="0.35">
      <c r="A484" s="8">
        <v>480</v>
      </c>
      <c r="B484" s="11" t="s">
        <v>9</v>
      </c>
      <c r="C484" s="8">
        <v>0.9</v>
      </c>
      <c r="D484" s="8">
        <v>0.3</v>
      </c>
      <c r="E484" s="8">
        <v>5.4740000000000002</v>
      </c>
      <c r="F484" s="8">
        <v>46.277000000000001</v>
      </c>
      <c r="G484" s="8">
        <v>4.7329999999999997</v>
      </c>
      <c r="H484" s="8"/>
    </row>
    <row r="485" spans="1:8" x14ac:dyDescent="0.35">
      <c r="A485" s="8">
        <v>481</v>
      </c>
      <c r="B485" s="11" t="s">
        <v>9</v>
      </c>
      <c r="C485" s="8">
        <v>0.9</v>
      </c>
      <c r="D485" s="8">
        <v>0.4</v>
      </c>
      <c r="E485" s="8">
        <v>5.5890000000000004</v>
      </c>
      <c r="F485" s="8">
        <v>47.226999999999997</v>
      </c>
      <c r="G485" s="8">
        <v>4.819</v>
      </c>
      <c r="H485" s="8"/>
    </row>
    <row r="486" spans="1:8" x14ac:dyDescent="0.35">
      <c r="A486" s="8">
        <v>482</v>
      </c>
      <c r="B486" s="11" t="s">
        <v>9</v>
      </c>
      <c r="C486" s="8">
        <v>0.9</v>
      </c>
      <c r="D486" s="8">
        <v>0.5</v>
      </c>
      <c r="E486" s="8">
        <v>5.65</v>
      </c>
      <c r="F486" s="8">
        <v>47.936</v>
      </c>
      <c r="G486" s="8">
        <v>4.859</v>
      </c>
      <c r="H486" s="8"/>
    </row>
    <row r="487" spans="1:8" x14ac:dyDescent="0.35">
      <c r="A487" s="8">
        <v>483</v>
      </c>
      <c r="B487" s="11" t="s">
        <v>9</v>
      </c>
      <c r="C487" s="8">
        <v>0.9</v>
      </c>
      <c r="D487" s="8">
        <v>0.6</v>
      </c>
      <c r="E487" s="8">
        <v>5.6760000000000002</v>
      </c>
      <c r="F487" s="8">
        <v>48.405999999999999</v>
      </c>
      <c r="G487" s="8">
        <v>4.8689999999999998</v>
      </c>
      <c r="H487" s="8"/>
    </row>
    <row r="488" spans="1:8" x14ac:dyDescent="0.35">
      <c r="A488" s="8">
        <v>484</v>
      </c>
      <c r="B488" s="11" t="s">
        <v>9</v>
      </c>
      <c r="C488" s="8">
        <v>0.9</v>
      </c>
      <c r="D488" s="8">
        <v>0.7</v>
      </c>
      <c r="E488" s="8">
        <v>5.7249999999999996</v>
      </c>
      <c r="F488" s="8">
        <v>48.682000000000002</v>
      </c>
      <c r="G488" s="8">
        <v>4.9000000000000004</v>
      </c>
      <c r="H488" s="8"/>
    </row>
    <row r="489" spans="1:8" x14ac:dyDescent="0.35">
      <c r="A489" s="8">
        <v>485</v>
      </c>
      <c r="B489" s="11" t="s">
        <v>9</v>
      </c>
      <c r="C489" s="8">
        <v>0.9</v>
      </c>
      <c r="D489" s="8">
        <v>0.8</v>
      </c>
      <c r="E489" s="8">
        <v>5.7119999999999997</v>
      </c>
      <c r="F489" s="8">
        <v>48.845999999999997</v>
      </c>
      <c r="G489" s="8">
        <v>4.8810000000000002</v>
      </c>
      <c r="H489" s="8"/>
    </row>
    <row r="490" spans="1:8" x14ac:dyDescent="0.35">
      <c r="A490" s="8">
        <v>486</v>
      </c>
      <c r="B490" s="11" t="s">
        <v>9</v>
      </c>
      <c r="C490" s="8">
        <v>0.9</v>
      </c>
      <c r="D490" s="8">
        <v>0.9</v>
      </c>
      <c r="E490" s="8">
        <v>5.7030000000000003</v>
      </c>
      <c r="F490" s="8">
        <v>49.012999999999998</v>
      </c>
      <c r="G490" s="8">
        <v>4.8609999999999998</v>
      </c>
      <c r="H490" s="8"/>
    </row>
    <row r="491" spans="1:8" x14ac:dyDescent="0.35">
      <c r="A491" s="8">
        <v>487</v>
      </c>
      <c r="B491" s="11" t="s">
        <v>8</v>
      </c>
      <c r="C491" s="8">
        <v>0.1</v>
      </c>
      <c r="D491" s="8">
        <v>0.1</v>
      </c>
      <c r="E491" s="8">
        <v>9.0589999999999993</v>
      </c>
      <c r="F491" s="8">
        <v>162.20400000000001</v>
      </c>
      <c r="G491" s="8">
        <v>7.6289999999999996</v>
      </c>
      <c r="H491" s="8"/>
    </row>
    <row r="492" spans="1:8" x14ac:dyDescent="0.35">
      <c r="A492" s="8">
        <v>488</v>
      </c>
      <c r="B492" s="11" t="s">
        <v>8</v>
      </c>
      <c r="C492" s="8">
        <v>0.1</v>
      </c>
      <c r="D492" s="8">
        <v>0.2</v>
      </c>
      <c r="E492" s="8">
        <v>9.5030000000000001</v>
      </c>
      <c r="F492" s="8">
        <v>179.94200000000001</v>
      </c>
      <c r="G492" s="8">
        <v>7.992</v>
      </c>
      <c r="H492" s="8"/>
    </row>
    <row r="493" spans="1:8" x14ac:dyDescent="0.35">
      <c r="A493" s="8">
        <v>489</v>
      </c>
      <c r="B493" s="11" t="s">
        <v>8</v>
      </c>
      <c r="C493" s="8">
        <v>0.1</v>
      </c>
      <c r="D493" s="8">
        <v>0.3</v>
      </c>
      <c r="E493" s="8">
        <v>9.0850000000000009</v>
      </c>
      <c r="F493" s="8">
        <v>185.447</v>
      </c>
      <c r="G493" s="8">
        <v>7.79</v>
      </c>
      <c r="H493" s="8"/>
    </row>
    <row r="494" spans="1:8" x14ac:dyDescent="0.35">
      <c r="A494" s="8">
        <v>490</v>
      </c>
      <c r="B494" s="11" t="s">
        <v>8</v>
      </c>
      <c r="C494" s="8">
        <v>0.1</v>
      </c>
      <c r="D494" s="8">
        <v>0.4</v>
      </c>
      <c r="E494" s="8">
        <v>9.6590000000000007</v>
      </c>
      <c r="F494" s="8">
        <v>199.94499999999999</v>
      </c>
      <c r="G494" s="8">
        <v>8.2690000000000001</v>
      </c>
      <c r="H494" s="8"/>
    </row>
    <row r="495" spans="1:8" x14ac:dyDescent="0.35">
      <c r="A495" s="8">
        <v>491</v>
      </c>
      <c r="B495" s="11" t="s">
        <v>8</v>
      </c>
      <c r="C495" s="8">
        <v>0.1</v>
      </c>
      <c r="D495" s="8">
        <v>0.5</v>
      </c>
      <c r="E495" s="8">
        <v>10.679</v>
      </c>
      <c r="F495" s="8">
        <v>231.00800000000001</v>
      </c>
      <c r="G495" s="8">
        <v>9.0709999999999997</v>
      </c>
      <c r="H495" s="8"/>
    </row>
    <row r="496" spans="1:8" x14ac:dyDescent="0.35">
      <c r="A496" s="8">
        <v>492</v>
      </c>
      <c r="B496" s="11" t="s">
        <v>8</v>
      </c>
      <c r="C496" s="8">
        <v>0.1</v>
      </c>
      <c r="D496" s="8">
        <v>0.6</v>
      </c>
      <c r="E496" s="8">
        <v>11.516999999999999</v>
      </c>
      <c r="F496" s="8">
        <v>275.35300000000001</v>
      </c>
      <c r="G496" s="8">
        <v>9.6809999999999992</v>
      </c>
      <c r="H496" s="8"/>
    </row>
    <row r="497" spans="1:8" x14ac:dyDescent="0.35">
      <c r="A497" s="8">
        <v>493</v>
      </c>
      <c r="B497" s="11" t="s">
        <v>8</v>
      </c>
      <c r="C497" s="8">
        <v>0.1</v>
      </c>
      <c r="D497" s="8">
        <v>0.7</v>
      </c>
      <c r="E497" s="8">
        <v>10.435</v>
      </c>
      <c r="F497" s="8">
        <v>289.54500000000002</v>
      </c>
      <c r="G497" s="8">
        <v>8.7850000000000001</v>
      </c>
      <c r="H497" s="8"/>
    </row>
    <row r="498" spans="1:8" x14ac:dyDescent="0.35">
      <c r="A498" s="8">
        <v>494</v>
      </c>
      <c r="B498" s="11" t="s">
        <v>8</v>
      </c>
      <c r="C498" s="8">
        <v>0.1</v>
      </c>
      <c r="D498" s="8">
        <v>0.8</v>
      </c>
      <c r="E498" s="8">
        <v>11.307</v>
      </c>
      <c r="F498" s="8">
        <v>269.97300000000001</v>
      </c>
      <c r="G498" s="8">
        <v>9.5050000000000008</v>
      </c>
      <c r="H498" s="8"/>
    </row>
    <row r="499" spans="1:8" x14ac:dyDescent="0.35">
      <c r="A499" s="8">
        <v>495</v>
      </c>
      <c r="B499" s="11" t="s">
        <v>8</v>
      </c>
      <c r="C499" s="8">
        <v>0.1</v>
      </c>
      <c r="D499" s="8">
        <v>0.9</v>
      </c>
      <c r="E499" s="8">
        <v>11.525</v>
      </c>
      <c r="F499" s="8">
        <v>257.33100000000002</v>
      </c>
      <c r="G499" s="8">
        <v>9.74</v>
      </c>
      <c r="H499" s="8"/>
    </row>
    <row r="500" spans="1:8" x14ac:dyDescent="0.35">
      <c r="A500" s="8">
        <v>496</v>
      </c>
      <c r="B500" s="11" t="s">
        <v>8</v>
      </c>
      <c r="C500" s="8">
        <v>0.2</v>
      </c>
      <c r="D500" s="8">
        <v>0.1</v>
      </c>
      <c r="E500" s="8">
        <v>8.4610000000000003</v>
      </c>
      <c r="F500" s="8">
        <v>167.1</v>
      </c>
      <c r="G500" s="8">
        <v>7.2309999999999999</v>
      </c>
      <c r="H500" s="8"/>
    </row>
    <row r="501" spans="1:8" x14ac:dyDescent="0.35">
      <c r="A501" s="8">
        <v>497</v>
      </c>
      <c r="B501" s="11" t="s">
        <v>8</v>
      </c>
      <c r="C501" s="8">
        <v>0.2</v>
      </c>
      <c r="D501" s="8">
        <v>0.2</v>
      </c>
      <c r="E501" s="8">
        <v>8.9499999999999993</v>
      </c>
      <c r="F501" s="8">
        <v>185.12200000000001</v>
      </c>
      <c r="G501" s="8">
        <v>7.6589999999999998</v>
      </c>
      <c r="H501" s="8"/>
    </row>
    <row r="502" spans="1:8" x14ac:dyDescent="0.35">
      <c r="A502" s="8">
        <v>498</v>
      </c>
      <c r="B502" s="11" t="s">
        <v>8</v>
      </c>
      <c r="C502" s="8">
        <v>0.2</v>
      </c>
      <c r="D502" s="8">
        <v>0.3</v>
      </c>
      <c r="E502" s="8">
        <v>9.5380000000000003</v>
      </c>
      <c r="F502" s="8">
        <v>203.65700000000001</v>
      </c>
      <c r="G502" s="8">
        <v>8.1170000000000009</v>
      </c>
      <c r="H502" s="8"/>
    </row>
    <row r="503" spans="1:8" x14ac:dyDescent="0.35">
      <c r="A503" s="8">
        <v>499</v>
      </c>
      <c r="B503" s="11" t="s">
        <v>8</v>
      </c>
      <c r="C503" s="8">
        <v>0.2</v>
      </c>
      <c r="D503" s="8">
        <v>0.4</v>
      </c>
      <c r="E503" s="8">
        <v>10.042</v>
      </c>
      <c r="F503" s="8">
        <v>216.10599999999999</v>
      </c>
      <c r="G503" s="8">
        <v>8.4960000000000004</v>
      </c>
      <c r="H503" s="8"/>
    </row>
    <row r="504" spans="1:8" x14ac:dyDescent="0.35">
      <c r="A504" s="8">
        <v>500</v>
      </c>
      <c r="B504" s="11" t="s">
        <v>8</v>
      </c>
      <c r="C504" s="8">
        <v>0.2</v>
      </c>
      <c r="D504" s="8">
        <v>0.5</v>
      </c>
      <c r="E504" s="8">
        <v>10.66</v>
      </c>
      <c r="F504" s="8">
        <v>223.018</v>
      </c>
      <c r="G504" s="8">
        <v>8.9580000000000002</v>
      </c>
      <c r="H504" s="8"/>
    </row>
    <row r="505" spans="1:8" x14ac:dyDescent="0.35">
      <c r="A505" s="8">
        <v>501</v>
      </c>
      <c r="B505" s="11" t="s">
        <v>8</v>
      </c>
      <c r="C505" s="8">
        <v>0.2</v>
      </c>
      <c r="D505" s="8">
        <v>0.6</v>
      </c>
      <c r="E505" s="8">
        <v>11.058999999999999</v>
      </c>
      <c r="F505" s="8">
        <v>226.22399999999999</v>
      </c>
      <c r="G505" s="8">
        <v>9.2370000000000001</v>
      </c>
      <c r="H505" s="8"/>
    </row>
    <row r="506" spans="1:8" x14ac:dyDescent="0.35">
      <c r="A506" s="8">
        <v>502</v>
      </c>
      <c r="B506" s="11" t="s">
        <v>8</v>
      </c>
      <c r="C506" s="8">
        <v>0.2</v>
      </c>
      <c r="D506" s="8">
        <v>0.7</v>
      </c>
      <c r="E506" s="8">
        <v>11.185</v>
      </c>
      <c r="F506" s="8">
        <v>222.255</v>
      </c>
      <c r="G506" s="8">
        <v>9.2910000000000004</v>
      </c>
      <c r="H506" s="8"/>
    </row>
    <row r="507" spans="1:8" x14ac:dyDescent="0.35">
      <c r="A507" s="8">
        <v>503</v>
      </c>
      <c r="B507" s="11" t="s">
        <v>8</v>
      </c>
      <c r="C507" s="8">
        <v>0.2</v>
      </c>
      <c r="D507" s="8">
        <v>0.8</v>
      </c>
      <c r="E507" s="8">
        <v>11.256</v>
      </c>
      <c r="F507" s="8">
        <v>215.13900000000001</v>
      </c>
      <c r="G507" s="8">
        <v>9.3170000000000002</v>
      </c>
      <c r="H507" s="8"/>
    </row>
    <row r="508" spans="1:8" x14ac:dyDescent="0.35">
      <c r="A508" s="8">
        <v>504</v>
      </c>
      <c r="B508" s="11" t="s">
        <v>8</v>
      </c>
      <c r="C508" s="8">
        <v>0.2</v>
      </c>
      <c r="D508" s="8">
        <v>0.9</v>
      </c>
      <c r="E508" s="8">
        <v>11.542</v>
      </c>
      <c r="F508" s="8">
        <v>213.91900000000001</v>
      </c>
      <c r="G508" s="8">
        <v>9.5289999999999999</v>
      </c>
      <c r="H508" s="8"/>
    </row>
    <row r="509" spans="1:8" x14ac:dyDescent="0.35">
      <c r="A509" s="8">
        <v>505</v>
      </c>
      <c r="B509" s="11" t="s">
        <v>8</v>
      </c>
      <c r="C509" s="8">
        <v>0.3</v>
      </c>
      <c r="D509" s="8">
        <v>0.1</v>
      </c>
      <c r="E509" s="8">
        <v>8.3580000000000005</v>
      </c>
      <c r="F509" s="8">
        <v>159.345</v>
      </c>
      <c r="G509" s="8">
        <v>7.1509999999999998</v>
      </c>
      <c r="H509" s="8"/>
    </row>
    <row r="510" spans="1:8" x14ac:dyDescent="0.35">
      <c r="A510" s="8">
        <v>506</v>
      </c>
      <c r="B510" s="11" t="s">
        <v>8</v>
      </c>
      <c r="C510" s="8">
        <v>0.3</v>
      </c>
      <c r="D510" s="8">
        <v>0.2</v>
      </c>
      <c r="E510" s="8">
        <v>8.9209999999999994</v>
      </c>
      <c r="F510" s="8">
        <v>173.03299999999999</v>
      </c>
      <c r="G510" s="8">
        <v>7.601</v>
      </c>
      <c r="H510" s="8"/>
    </row>
    <row r="511" spans="1:8" x14ac:dyDescent="0.35">
      <c r="A511" s="8">
        <v>507</v>
      </c>
      <c r="B511" s="11" t="s">
        <v>8</v>
      </c>
      <c r="C511" s="8">
        <v>0.3</v>
      </c>
      <c r="D511" s="8">
        <v>0.3</v>
      </c>
      <c r="E511" s="8">
        <v>9.3219999999999992</v>
      </c>
      <c r="F511" s="8">
        <v>180.64</v>
      </c>
      <c r="G511" s="8">
        <v>7.8970000000000002</v>
      </c>
      <c r="H511" s="8"/>
    </row>
    <row r="512" spans="1:8" x14ac:dyDescent="0.35">
      <c r="A512" s="8">
        <v>508</v>
      </c>
      <c r="B512" s="11" t="s">
        <v>8</v>
      </c>
      <c r="C512" s="8">
        <v>0.3</v>
      </c>
      <c r="D512" s="8">
        <v>0.4</v>
      </c>
      <c r="E512" s="8">
        <v>9.6270000000000007</v>
      </c>
      <c r="F512" s="8">
        <v>181.92699999999999</v>
      </c>
      <c r="G512" s="8">
        <v>8.1050000000000004</v>
      </c>
      <c r="H512" s="8"/>
    </row>
    <row r="513" spans="1:8" x14ac:dyDescent="0.35">
      <c r="A513" s="8">
        <v>509</v>
      </c>
      <c r="B513" s="11" t="s">
        <v>8</v>
      </c>
      <c r="C513" s="8">
        <v>0.3</v>
      </c>
      <c r="D513" s="8">
        <v>0.5</v>
      </c>
      <c r="E513" s="8">
        <v>9.7530000000000001</v>
      </c>
      <c r="F513" s="8">
        <v>179.30699999999999</v>
      </c>
      <c r="G513" s="8">
        <v>8.173</v>
      </c>
      <c r="H513" s="8"/>
    </row>
    <row r="514" spans="1:8" x14ac:dyDescent="0.35">
      <c r="A514" s="8">
        <v>510</v>
      </c>
      <c r="B514" s="11" t="s">
        <v>8</v>
      </c>
      <c r="C514" s="8">
        <v>0.3</v>
      </c>
      <c r="D514" s="8">
        <v>0.6</v>
      </c>
      <c r="E514" s="8">
        <v>9.9320000000000004</v>
      </c>
      <c r="F514" s="8">
        <v>176.35599999999999</v>
      </c>
      <c r="G514" s="8">
        <v>8.2780000000000005</v>
      </c>
      <c r="H514" s="8"/>
    </row>
    <row r="515" spans="1:8" x14ac:dyDescent="0.35">
      <c r="A515" s="8">
        <v>511</v>
      </c>
      <c r="B515" s="11" t="s">
        <v>8</v>
      </c>
      <c r="C515" s="8">
        <v>0.3</v>
      </c>
      <c r="D515" s="8">
        <v>0.7</v>
      </c>
      <c r="E515" s="8">
        <v>10.161</v>
      </c>
      <c r="F515" s="8">
        <v>175.208</v>
      </c>
      <c r="G515" s="8">
        <v>8.4390000000000001</v>
      </c>
      <c r="H515" s="8"/>
    </row>
    <row r="516" spans="1:8" x14ac:dyDescent="0.35">
      <c r="A516" s="8">
        <v>512</v>
      </c>
      <c r="B516" s="11" t="s">
        <v>8</v>
      </c>
      <c r="C516" s="8">
        <v>0.3</v>
      </c>
      <c r="D516" s="8">
        <v>0.8</v>
      </c>
      <c r="E516" s="8">
        <v>10.46</v>
      </c>
      <c r="F516" s="8">
        <v>175.762</v>
      </c>
      <c r="G516" s="8">
        <v>8.6620000000000008</v>
      </c>
      <c r="H516" s="8"/>
    </row>
    <row r="517" spans="1:8" x14ac:dyDescent="0.35">
      <c r="A517" s="8">
        <v>513</v>
      </c>
      <c r="B517" s="11" t="s">
        <v>8</v>
      </c>
      <c r="C517" s="8">
        <v>0.3</v>
      </c>
      <c r="D517" s="8">
        <v>0.9</v>
      </c>
      <c r="E517" s="8">
        <v>10.608000000000001</v>
      </c>
      <c r="F517" s="8">
        <v>177.83799999999999</v>
      </c>
      <c r="G517" s="8">
        <v>8.7859999999999996</v>
      </c>
      <c r="H517" s="8"/>
    </row>
    <row r="518" spans="1:8" x14ac:dyDescent="0.35">
      <c r="A518" s="8">
        <v>514</v>
      </c>
      <c r="B518" s="11" t="s">
        <v>8</v>
      </c>
      <c r="C518" s="8">
        <v>0.4</v>
      </c>
      <c r="D518" s="8">
        <v>0.1</v>
      </c>
      <c r="E518" s="8">
        <v>8.0429999999999993</v>
      </c>
      <c r="F518" s="8">
        <v>146.46299999999999</v>
      </c>
      <c r="G518" s="8">
        <v>6.8869999999999996</v>
      </c>
      <c r="H518" s="8"/>
    </row>
    <row r="519" spans="1:8" x14ac:dyDescent="0.35">
      <c r="A519" s="8">
        <v>515</v>
      </c>
      <c r="B519" s="11" t="s">
        <v>8</v>
      </c>
      <c r="C519" s="8">
        <v>0.4</v>
      </c>
      <c r="D519" s="8">
        <v>0.2</v>
      </c>
      <c r="E519" s="8">
        <v>8.3460000000000001</v>
      </c>
      <c r="F519" s="8">
        <v>153.69399999999999</v>
      </c>
      <c r="G519" s="8">
        <v>7.1230000000000002</v>
      </c>
      <c r="H519" s="8"/>
    </row>
    <row r="520" spans="1:8" x14ac:dyDescent="0.35">
      <c r="A520" s="8">
        <v>516</v>
      </c>
      <c r="B520" s="11" t="s">
        <v>8</v>
      </c>
      <c r="C520" s="8">
        <v>0.4</v>
      </c>
      <c r="D520" s="8">
        <v>0.3</v>
      </c>
      <c r="E520" s="8">
        <v>8.4809999999999999</v>
      </c>
      <c r="F520" s="8">
        <v>154.61199999999999</v>
      </c>
      <c r="G520" s="8">
        <v>7.2080000000000002</v>
      </c>
      <c r="H520" s="8"/>
    </row>
    <row r="521" spans="1:8" x14ac:dyDescent="0.35">
      <c r="A521" s="8">
        <v>517</v>
      </c>
      <c r="B521" s="11" t="s">
        <v>8</v>
      </c>
      <c r="C521" s="8">
        <v>0.4</v>
      </c>
      <c r="D521" s="8">
        <v>0.4</v>
      </c>
      <c r="E521" s="8">
        <v>8.6270000000000007</v>
      </c>
      <c r="F521" s="8">
        <v>151.99199999999999</v>
      </c>
      <c r="G521" s="8">
        <v>7.2889999999999997</v>
      </c>
      <c r="H521" s="8"/>
    </row>
    <row r="522" spans="1:8" x14ac:dyDescent="0.35">
      <c r="A522" s="8">
        <v>518</v>
      </c>
      <c r="B522" s="11" t="s">
        <v>8</v>
      </c>
      <c r="C522" s="8">
        <v>0.4</v>
      </c>
      <c r="D522" s="8">
        <v>0.5</v>
      </c>
      <c r="E522" s="8">
        <v>8.875</v>
      </c>
      <c r="F522" s="8">
        <v>149.011</v>
      </c>
      <c r="G522" s="8">
        <v>7.4690000000000003</v>
      </c>
      <c r="H522" s="8"/>
    </row>
    <row r="523" spans="1:8" x14ac:dyDescent="0.35">
      <c r="A523" s="8">
        <v>519</v>
      </c>
      <c r="B523" s="11" t="s">
        <v>8</v>
      </c>
      <c r="C523" s="8">
        <v>0.4</v>
      </c>
      <c r="D523" s="8">
        <v>0.6</v>
      </c>
      <c r="E523" s="8">
        <v>9.0559999999999992</v>
      </c>
      <c r="F523" s="8">
        <v>147.34</v>
      </c>
      <c r="G523" s="8">
        <v>7.6040000000000001</v>
      </c>
      <c r="H523" s="8"/>
    </row>
    <row r="524" spans="1:8" x14ac:dyDescent="0.35">
      <c r="A524" s="8">
        <v>520</v>
      </c>
      <c r="B524" s="11" t="s">
        <v>8</v>
      </c>
      <c r="C524" s="8">
        <v>0.4</v>
      </c>
      <c r="D524" s="8">
        <v>0.7</v>
      </c>
      <c r="E524" s="8">
        <v>9.0920000000000005</v>
      </c>
      <c r="F524" s="8">
        <v>147.24100000000001</v>
      </c>
      <c r="G524" s="8">
        <v>7.6310000000000002</v>
      </c>
      <c r="H524" s="8"/>
    </row>
    <row r="525" spans="1:8" x14ac:dyDescent="0.35">
      <c r="A525" s="8">
        <v>521</v>
      </c>
      <c r="B525" s="11" t="s">
        <v>8</v>
      </c>
      <c r="C525" s="8">
        <v>0.4</v>
      </c>
      <c r="D525" s="8">
        <v>0.8</v>
      </c>
      <c r="E525" s="8">
        <v>9.2460000000000004</v>
      </c>
      <c r="F525" s="8">
        <v>148.25299999999999</v>
      </c>
      <c r="G525" s="8">
        <v>7.7439999999999998</v>
      </c>
      <c r="H525" s="8"/>
    </row>
    <row r="526" spans="1:8" x14ac:dyDescent="0.35">
      <c r="A526" s="8">
        <v>522</v>
      </c>
      <c r="B526" s="11" t="s">
        <v>8</v>
      </c>
      <c r="C526" s="8">
        <v>0.4</v>
      </c>
      <c r="D526" s="8">
        <v>0.9</v>
      </c>
      <c r="E526" s="8">
        <v>9.4160000000000004</v>
      </c>
      <c r="F526" s="8">
        <v>149.58600000000001</v>
      </c>
      <c r="G526" s="8">
        <v>7.8760000000000003</v>
      </c>
      <c r="H526" s="8"/>
    </row>
    <row r="527" spans="1:8" x14ac:dyDescent="0.35">
      <c r="A527" s="8">
        <v>523</v>
      </c>
      <c r="B527" s="11" t="s">
        <v>8</v>
      </c>
      <c r="C527" s="8">
        <v>0.5</v>
      </c>
      <c r="D527" s="8">
        <v>0.1</v>
      </c>
      <c r="E527" s="8">
        <v>7.5679999999999996</v>
      </c>
      <c r="F527" s="8">
        <v>133.5</v>
      </c>
      <c r="G527" s="8">
        <v>6.4950000000000001</v>
      </c>
      <c r="H527" s="8"/>
    </row>
    <row r="528" spans="1:8" x14ac:dyDescent="0.35">
      <c r="A528" s="8">
        <v>524</v>
      </c>
      <c r="B528" s="11" t="s">
        <v>8</v>
      </c>
      <c r="C528" s="8">
        <v>0.5</v>
      </c>
      <c r="D528" s="8">
        <v>0.2</v>
      </c>
      <c r="E528" s="8">
        <v>7.7670000000000003</v>
      </c>
      <c r="F528" s="8">
        <v>136.453</v>
      </c>
      <c r="G528" s="8">
        <v>6.6369999999999996</v>
      </c>
      <c r="H528" s="8"/>
    </row>
    <row r="529" spans="1:8" x14ac:dyDescent="0.35">
      <c r="A529" s="8">
        <v>525</v>
      </c>
      <c r="B529" s="11" t="s">
        <v>8</v>
      </c>
      <c r="C529" s="8">
        <v>0.5</v>
      </c>
      <c r="D529" s="8">
        <v>0.3</v>
      </c>
      <c r="E529" s="8">
        <v>7.9370000000000003</v>
      </c>
      <c r="F529" s="8">
        <v>134.749</v>
      </c>
      <c r="G529" s="8">
        <v>6.7430000000000003</v>
      </c>
      <c r="H529" s="8"/>
    </row>
    <row r="530" spans="1:8" x14ac:dyDescent="0.35">
      <c r="A530" s="8">
        <v>526</v>
      </c>
      <c r="B530" s="11" t="s">
        <v>8</v>
      </c>
      <c r="C530" s="8">
        <v>0.5</v>
      </c>
      <c r="D530" s="8">
        <v>0.4</v>
      </c>
      <c r="E530" s="8">
        <v>8.109</v>
      </c>
      <c r="F530" s="8">
        <v>131.72900000000001</v>
      </c>
      <c r="G530" s="8">
        <v>6.8650000000000002</v>
      </c>
      <c r="H530" s="8"/>
    </row>
    <row r="531" spans="1:8" x14ac:dyDescent="0.35">
      <c r="A531" s="8">
        <v>527</v>
      </c>
      <c r="B531" s="11" t="s">
        <v>8</v>
      </c>
      <c r="C531" s="8">
        <v>0.5</v>
      </c>
      <c r="D531" s="8">
        <v>0.5</v>
      </c>
      <c r="E531" s="8">
        <v>8.1229999999999993</v>
      </c>
      <c r="F531" s="8">
        <v>129.488</v>
      </c>
      <c r="G531" s="8">
        <v>6.8689999999999998</v>
      </c>
      <c r="H531" s="8"/>
    </row>
    <row r="532" spans="1:8" x14ac:dyDescent="0.35">
      <c r="A532" s="8">
        <v>528</v>
      </c>
      <c r="B532" s="11" t="s">
        <v>8</v>
      </c>
      <c r="C532" s="8">
        <v>0.5</v>
      </c>
      <c r="D532" s="8">
        <v>0.6</v>
      </c>
      <c r="E532" s="8">
        <v>8.1920000000000002</v>
      </c>
      <c r="F532" s="8">
        <v>128.49799999999999</v>
      </c>
      <c r="G532" s="8">
        <v>6.9180000000000001</v>
      </c>
      <c r="H532" s="8"/>
    </row>
    <row r="533" spans="1:8" x14ac:dyDescent="0.35">
      <c r="A533" s="8">
        <v>529</v>
      </c>
      <c r="B533" s="11" t="s">
        <v>8</v>
      </c>
      <c r="C533" s="8">
        <v>0.5</v>
      </c>
      <c r="D533" s="8">
        <v>0.7</v>
      </c>
      <c r="E533" s="8">
        <v>8.1790000000000003</v>
      </c>
      <c r="F533" s="8">
        <v>128.321</v>
      </c>
      <c r="G533" s="8">
        <v>6.9039999999999999</v>
      </c>
      <c r="H533" s="8"/>
    </row>
    <row r="534" spans="1:8" x14ac:dyDescent="0.35">
      <c r="A534" s="8">
        <v>530</v>
      </c>
      <c r="B534" s="11" t="s">
        <v>8</v>
      </c>
      <c r="C534" s="8">
        <v>0.5</v>
      </c>
      <c r="D534" s="8">
        <v>0.8</v>
      </c>
      <c r="E534" s="8">
        <v>8.1669999999999998</v>
      </c>
      <c r="F534" s="8">
        <v>128.27000000000001</v>
      </c>
      <c r="G534" s="8">
        <v>6.8890000000000002</v>
      </c>
      <c r="H534" s="8"/>
    </row>
    <row r="535" spans="1:8" x14ac:dyDescent="0.35">
      <c r="A535" s="8">
        <v>531</v>
      </c>
      <c r="B535" s="11" t="s">
        <v>8</v>
      </c>
      <c r="C535" s="8">
        <v>0.5</v>
      </c>
      <c r="D535" s="8">
        <v>0.9</v>
      </c>
      <c r="E535" s="8">
        <v>7.9960000000000004</v>
      </c>
      <c r="F535" s="8">
        <v>127.79600000000001</v>
      </c>
      <c r="G535" s="8">
        <v>6.7510000000000003</v>
      </c>
      <c r="H535" s="8"/>
    </row>
    <row r="536" spans="1:8" x14ac:dyDescent="0.35">
      <c r="A536" s="8">
        <v>532</v>
      </c>
      <c r="B536" s="11" t="s">
        <v>8</v>
      </c>
      <c r="C536" s="8">
        <v>0.6</v>
      </c>
      <c r="D536" s="8">
        <v>0.1</v>
      </c>
      <c r="E536" s="8">
        <v>7.1760000000000002</v>
      </c>
      <c r="F536" s="8">
        <v>122.134</v>
      </c>
      <c r="G536" s="8">
        <v>6.1589999999999998</v>
      </c>
      <c r="H536" s="8"/>
    </row>
    <row r="537" spans="1:8" x14ac:dyDescent="0.35">
      <c r="A537" s="8">
        <v>533</v>
      </c>
      <c r="B537" s="11" t="s">
        <v>8</v>
      </c>
      <c r="C537" s="8">
        <v>0.6</v>
      </c>
      <c r="D537" s="8">
        <v>0.2</v>
      </c>
      <c r="E537" s="8">
        <v>7.3540000000000001</v>
      </c>
      <c r="F537" s="8">
        <v>122.69799999999999</v>
      </c>
      <c r="G537" s="8">
        <v>6.282</v>
      </c>
      <c r="H537" s="8"/>
    </row>
    <row r="538" spans="1:8" x14ac:dyDescent="0.35">
      <c r="A538" s="8">
        <v>534</v>
      </c>
      <c r="B538" s="11" t="s">
        <v>8</v>
      </c>
      <c r="C538" s="8">
        <v>0.6</v>
      </c>
      <c r="D538" s="8">
        <v>0.3</v>
      </c>
      <c r="E538" s="8">
        <v>7.4279999999999999</v>
      </c>
      <c r="F538" s="8">
        <v>120.142</v>
      </c>
      <c r="G538" s="8">
        <v>6.3230000000000004</v>
      </c>
      <c r="H538" s="8"/>
    </row>
    <row r="539" spans="1:8" x14ac:dyDescent="0.35">
      <c r="A539" s="8">
        <v>535</v>
      </c>
      <c r="B539" s="11" t="s">
        <v>8</v>
      </c>
      <c r="C539" s="8">
        <v>0.6</v>
      </c>
      <c r="D539" s="8">
        <v>0.4</v>
      </c>
      <c r="E539" s="8">
        <v>7.4429999999999996</v>
      </c>
      <c r="F539" s="8">
        <v>117.31</v>
      </c>
      <c r="G539" s="8">
        <v>6.33</v>
      </c>
      <c r="H539" s="8"/>
    </row>
    <row r="540" spans="1:8" x14ac:dyDescent="0.35">
      <c r="A540" s="8">
        <v>536</v>
      </c>
      <c r="B540" s="11" t="s">
        <v>8</v>
      </c>
      <c r="C540" s="8">
        <v>0.6</v>
      </c>
      <c r="D540" s="8">
        <v>0.5</v>
      </c>
      <c r="E540" s="8">
        <v>7.5170000000000003</v>
      </c>
      <c r="F540" s="8">
        <v>115.298</v>
      </c>
      <c r="G540" s="8">
        <v>6.3780000000000001</v>
      </c>
      <c r="H540" s="8"/>
    </row>
    <row r="541" spans="1:8" x14ac:dyDescent="0.35">
      <c r="A541" s="8">
        <v>537</v>
      </c>
      <c r="B541" s="11" t="s">
        <v>8</v>
      </c>
      <c r="C541" s="8">
        <v>0.6</v>
      </c>
      <c r="D541" s="8">
        <v>0.6</v>
      </c>
      <c r="E541" s="8">
        <v>7.4279999999999999</v>
      </c>
      <c r="F541" s="8">
        <v>113.93899999999999</v>
      </c>
      <c r="G541" s="8">
        <v>6.3</v>
      </c>
      <c r="H541" s="8"/>
    </row>
    <row r="542" spans="1:8" x14ac:dyDescent="0.35">
      <c r="A542" s="8">
        <v>538</v>
      </c>
      <c r="B542" s="11" t="s">
        <v>8</v>
      </c>
      <c r="C542" s="8">
        <v>0.6</v>
      </c>
      <c r="D542" s="8">
        <v>0.7</v>
      </c>
      <c r="E542" s="8">
        <v>7.282</v>
      </c>
      <c r="F542" s="8">
        <v>112.63800000000001</v>
      </c>
      <c r="G542" s="8">
        <v>6.1779999999999999</v>
      </c>
      <c r="H542" s="8"/>
    </row>
    <row r="543" spans="1:8" x14ac:dyDescent="0.35">
      <c r="A543" s="8">
        <v>539</v>
      </c>
      <c r="B543" s="11" t="s">
        <v>8</v>
      </c>
      <c r="C543" s="8">
        <v>0.6</v>
      </c>
      <c r="D543" s="8">
        <v>0.8</v>
      </c>
      <c r="E543" s="8">
        <v>7.3419999999999996</v>
      </c>
      <c r="F543" s="8">
        <v>110.874</v>
      </c>
      <c r="G543" s="8">
        <v>6.2149999999999999</v>
      </c>
      <c r="H543" s="8"/>
    </row>
    <row r="544" spans="1:8" x14ac:dyDescent="0.35">
      <c r="A544" s="8">
        <v>540</v>
      </c>
      <c r="B544" s="11" t="s">
        <v>8</v>
      </c>
      <c r="C544" s="8">
        <v>0.6</v>
      </c>
      <c r="D544" s="8">
        <v>0.9</v>
      </c>
      <c r="E544" s="8">
        <v>7.3470000000000004</v>
      </c>
      <c r="F544" s="8">
        <v>108.36499999999999</v>
      </c>
      <c r="G544" s="8">
        <v>6.2060000000000004</v>
      </c>
      <c r="H544" s="8"/>
    </row>
    <row r="545" spans="1:8" x14ac:dyDescent="0.35">
      <c r="A545" s="8">
        <v>541</v>
      </c>
      <c r="B545" s="11" t="s">
        <v>8</v>
      </c>
      <c r="C545" s="8">
        <v>0.7</v>
      </c>
      <c r="D545" s="8">
        <v>0.1</v>
      </c>
      <c r="E545" s="8">
        <v>6.827</v>
      </c>
      <c r="F545" s="8">
        <v>112.47499999999999</v>
      </c>
      <c r="G545" s="8">
        <v>5.8620000000000001</v>
      </c>
      <c r="H545" s="8"/>
    </row>
    <row r="546" spans="1:8" x14ac:dyDescent="0.35">
      <c r="A546" s="8">
        <v>542</v>
      </c>
      <c r="B546" s="11" t="s">
        <v>8</v>
      </c>
      <c r="C546" s="8">
        <v>0.7</v>
      </c>
      <c r="D546" s="8">
        <v>0.2</v>
      </c>
      <c r="E546" s="8">
        <v>6.9249999999999998</v>
      </c>
      <c r="F546" s="8">
        <v>111.685</v>
      </c>
      <c r="G546" s="8">
        <v>5.9249999999999998</v>
      </c>
      <c r="H546" s="8"/>
    </row>
    <row r="547" spans="1:8" x14ac:dyDescent="0.35">
      <c r="A547" s="8">
        <v>543</v>
      </c>
      <c r="B547" s="11" t="s">
        <v>8</v>
      </c>
      <c r="C547" s="8">
        <v>0.7</v>
      </c>
      <c r="D547" s="8">
        <v>0.3</v>
      </c>
      <c r="E547" s="8">
        <v>6.9470000000000001</v>
      </c>
      <c r="F547" s="8">
        <v>108.78400000000001</v>
      </c>
      <c r="G547" s="8">
        <v>5.9349999999999996</v>
      </c>
      <c r="H547" s="8"/>
    </row>
    <row r="548" spans="1:8" x14ac:dyDescent="0.35">
      <c r="A548" s="8">
        <v>544</v>
      </c>
      <c r="B548" s="11" t="s">
        <v>8</v>
      </c>
      <c r="C548" s="8">
        <v>0.7</v>
      </c>
      <c r="D548" s="8">
        <v>0.4</v>
      </c>
      <c r="E548" s="8">
        <v>7.0069999999999997</v>
      </c>
      <c r="F548" s="8">
        <v>105.923</v>
      </c>
      <c r="G548" s="8">
        <v>5.968</v>
      </c>
      <c r="H548" s="8"/>
    </row>
    <row r="549" spans="1:8" x14ac:dyDescent="0.35">
      <c r="A549" s="8">
        <v>545</v>
      </c>
      <c r="B549" s="11" t="s">
        <v>8</v>
      </c>
      <c r="C549" s="8">
        <v>0.7</v>
      </c>
      <c r="D549" s="8">
        <v>0.5</v>
      </c>
      <c r="E549" s="8">
        <v>6.931</v>
      </c>
      <c r="F549" s="8">
        <v>103.574</v>
      </c>
      <c r="G549" s="8">
        <v>5.8949999999999996</v>
      </c>
      <c r="H549" s="8"/>
    </row>
    <row r="550" spans="1:8" x14ac:dyDescent="0.35">
      <c r="A550" s="8">
        <v>546</v>
      </c>
      <c r="B550" s="11" t="s">
        <v>8</v>
      </c>
      <c r="C550" s="8">
        <v>0.7</v>
      </c>
      <c r="D550" s="8">
        <v>0.6</v>
      </c>
      <c r="E550" s="8">
        <v>6.9169999999999998</v>
      </c>
      <c r="F550" s="8">
        <v>101.39</v>
      </c>
      <c r="G550" s="8">
        <v>5.87</v>
      </c>
      <c r="H550" s="8"/>
    </row>
    <row r="551" spans="1:8" x14ac:dyDescent="0.35">
      <c r="A551" s="8">
        <v>547</v>
      </c>
      <c r="B551" s="11" t="s">
        <v>8</v>
      </c>
      <c r="C551" s="8">
        <v>0.7</v>
      </c>
      <c r="D551" s="8">
        <v>0.7</v>
      </c>
      <c r="E551" s="8">
        <v>6.9889999999999999</v>
      </c>
      <c r="F551" s="8">
        <v>98.941000000000003</v>
      </c>
      <c r="G551" s="8">
        <v>5.9130000000000003</v>
      </c>
      <c r="H551" s="8"/>
    </row>
    <row r="552" spans="1:8" x14ac:dyDescent="0.35">
      <c r="A552" s="8">
        <v>548</v>
      </c>
      <c r="B552" s="11" t="s">
        <v>8</v>
      </c>
      <c r="C552" s="8">
        <v>0.7</v>
      </c>
      <c r="D552" s="8">
        <v>0.8</v>
      </c>
      <c r="E552" s="8">
        <v>7.0019999999999998</v>
      </c>
      <c r="F552" s="8">
        <v>96.02</v>
      </c>
      <c r="G552" s="8">
        <v>5.9119999999999999</v>
      </c>
      <c r="H552" s="8"/>
    </row>
    <row r="553" spans="1:8" x14ac:dyDescent="0.35">
      <c r="A553" s="8">
        <v>549</v>
      </c>
      <c r="B553" s="11" t="s">
        <v>8</v>
      </c>
      <c r="C553" s="8">
        <v>0.7</v>
      </c>
      <c r="D553" s="8">
        <v>0.9</v>
      </c>
      <c r="E553" s="8">
        <v>6.9690000000000003</v>
      </c>
      <c r="F553" s="8">
        <v>92.668999999999997</v>
      </c>
      <c r="G553" s="8">
        <v>5.875</v>
      </c>
      <c r="H553" s="8"/>
    </row>
    <row r="554" spans="1:8" x14ac:dyDescent="0.35">
      <c r="A554" s="8">
        <v>550</v>
      </c>
      <c r="B554" s="11" t="s">
        <v>8</v>
      </c>
      <c r="C554" s="8">
        <v>0.8</v>
      </c>
      <c r="D554" s="8">
        <v>0.1</v>
      </c>
      <c r="E554" s="8">
        <v>6.5369999999999999</v>
      </c>
      <c r="F554" s="8">
        <v>104.271</v>
      </c>
      <c r="G554" s="8">
        <v>5.6189999999999998</v>
      </c>
      <c r="H554" s="8"/>
    </row>
    <row r="555" spans="1:8" x14ac:dyDescent="0.35">
      <c r="A555" s="8">
        <v>551</v>
      </c>
      <c r="B555" s="11" t="s">
        <v>8</v>
      </c>
      <c r="C555" s="8">
        <v>0.8</v>
      </c>
      <c r="D555" s="8">
        <v>0.2</v>
      </c>
      <c r="E555" s="8">
        <v>6.6139999999999999</v>
      </c>
      <c r="F555" s="8">
        <v>102.657</v>
      </c>
      <c r="G555" s="8">
        <v>5.6719999999999997</v>
      </c>
      <c r="H555" s="8"/>
    </row>
    <row r="556" spans="1:8" x14ac:dyDescent="0.35">
      <c r="A556" s="8">
        <v>552</v>
      </c>
      <c r="B556" s="11" t="s">
        <v>8</v>
      </c>
      <c r="C556" s="8">
        <v>0.8</v>
      </c>
      <c r="D556" s="8">
        <v>0.3</v>
      </c>
      <c r="E556" s="8">
        <v>6.6219999999999999</v>
      </c>
      <c r="F556" s="8">
        <v>99.543999999999997</v>
      </c>
      <c r="G556" s="8">
        <v>5.6619999999999999</v>
      </c>
      <c r="H556" s="8"/>
    </row>
    <row r="557" spans="1:8" x14ac:dyDescent="0.35">
      <c r="A557" s="8">
        <v>553</v>
      </c>
      <c r="B557" s="11" t="s">
        <v>8</v>
      </c>
      <c r="C557" s="8">
        <v>0.8</v>
      </c>
      <c r="D557" s="8">
        <v>0.4</v>
      </c>
      <c r="E557" s="8">
        <v>6.6239999999999997</v>
      </c>
      <c r="F557" s="8">
        <v>96.534000000000006</v>
      </c>
      <c r="G557" s="8">
        <v>5.6440000000000001</v>
      </c>
      <c r="H557" s="8"/>
    </row>
    <row r="558" spans="1:8" x14ac:dyDescent="0.35">
      <c r="A558" s="8">
        <v>554</v>
      </c>
      <c r="B558" s="11" t="s">
        <v>8</v>
      </c>
      <c r="C558" s="8">
        <v>0.8</v>
      </c>
      <c r="D558" s="8">
        <v>0.5</v>
      </c>
      <c r="E558" s="8">
        <v>6.673</v>
      </c>
      <c r="F558" s="8">
        <v>93.826999999999998</v>
      </c>
      <c r="G558" s="8">
        <v>5.665</v>
      </c>
      <c r="H558" s="8"/>
    </row>
    <row r="559" spans="1:8" x14ac:dyDescent="0.35">
      <c r="A559" s="8">
        <v>555</v>
      </c>
      <c r="B559" s="11" t="s">
        <v>8</v>
      </c>
      <c r="C559" s="8">
        <v>0.8</v>
      </c>
      <c r="D559" s="8">
        <v>0.6</v>
      </c>
      <c r="E559" s="8">
        <v>6.7439999999999998</v>
      </c>
      <c r="F559" s="8">
        <v>91.165000000000006</v>
      </c>
      <c r="G559" s="8">
        <v>5.7080000000000002</v>
      </c>
      <c r="H559" s="8"/>
    </row>
    <row r="560" spans="1:8" x14ac:dyDescent="0.35">
      <c r="A560" s="8">
        <v>556</v>
      </c>
      <c r="B560" s="11" t="s">
        <v>8</v>
      </c>
      <c r="C560" s="8">
        <v>0.8</v>
      </c>
      <c r="D560" s="8">
        <v>0.7</v>
      </c>
      <c r="E560" s="8">
        <v>6.774</v>
      </c>
      <c r="F560" s="8">
        <v>88.38</v>
      </c>
      <c r="G560" s="8">
        <v>5.7210000000000001</v>
      </c>
      <c r="H560" s="8"/>
    </row>
    <row r="561" spans="1:8" x14ac:dyDescent="0.35">
      <c r="A561" s="8">
        <v>557</v>
      </c>
      <c r="B561" s="11" t="s">
        <v>8</v>
      </c>
      <c r="C561" s="8">
        <v>0.8</v>
      </c>
      <c r="D561" s="8">
        <v>0.8</v>
      </c>
      <c r="E561" s="8">
        <v>6.7679999999999998</v>
      </c>
      <c r="F561" s="8">
        <v>85.516000000000005</v>
      </c>
      <c r="G561" s="8">
        <v>5.7039999999999997</v>
      </c>
      <c r="H561" s="8"/>
    </row>
    <row r="562" spans="1:8" x14ac:dyDescent="0.35">
      <c r="A562" s="8">
        <v>558</v>
      </c>
      <c r="B562" s="11" t="s">
        <v>8</v>
      </c>
      <c r="C562" s="8">
        <v>0.8</v>
      </c>
      <c r="D562" s="8">
        <v>0.9</v>
      </c>
      <c r="E562" s="8">
        <v>6.782</v>
      </c>
      <c r="F562" s="8">
        <v>82.775000000000006</v>
      </c>
      <c r="G562" s="8">
        <v>5.6989999999999998</v>
      </c>
      <c r="H562" s="8"/>
    </row>
    <row r="563" spans="1:8" x14ac:dyDescent="0.35">
      <c r="A563" s="29">
        <v>559</v>
      </c>
      <c r="B563" s="30" t="s">
        <v>8</v>
      </c>
      <c r="C563" s="29">
        <v>0.9</v>
      </c>
      <c r="D563" s="29">
        <v>0.1</v>
      </c>
      <c r="E563" s="29">
        <v>6.335</v>
      </c>
      <c r="F563" s="29">
        <v>97.292000000000002</v>
      </c>
      <c r="G563" s="29">
        <v>5.45</v>
      </c>
      <c r="H563" s="29" t="s">
        <v>218</v>
      </c>
    </row>
    <row r="564" spans="1:8" x14ac:dyDescent="0.35">
      <c r="A564" s="8">
        <v>560</v>
      </c>
      <c r="B564" s="11" t="s">
        <v>8</v>
      </c>
      <c r="C564" s="8">
        <v>0.9</v>
      </c>
      <c r="D564" s="8">
        <v>0.2</v>
      </c>
      <c r="E564" s="8">
        <v>6.3550000000000004</v>
      </c>
      <c r="F564" s="8">
        <v>95.185000000000002</v>
      </c>
      <c r="G564" s="8">
        <v>5.4569999999999999</v>
      </c>
      <c r="H564" s="8"/>
    </row>
    <row r="565" spans="1:8" x14ac:dyDescent="0.35">
      <c r="A565" s="8">
        <v>561</v>
      </c>
      <c r="B565" s="11" t="s">
        <v>8</v>
      </c>
      <c r="C565" s="8">
        <v>0.9</v>
      </c>
      <c r="D565" s="8">
        <v>0.3</v>
      </c>
      <c r="E565" s="8">
        <v>6.4640000000000004</v>
      </c>
      <c r="F565" s="8">
        <v>91.997</v>
      </c>
      <c r="G565" s="8">
        <v>5.5179999999999998</v>
      </c>
      <c r="H565" s="8"/>
    </row>
    <row r="566" spans="1:8" x14ac:dyDescent="0.35">
      <c r="A566" s="8">
        <v>562</v>
      </c>
      <c r="B566" s="11" t="s">
        <v>8</v>
      </c>
      <c r="C566" s="8">
        <v>0.9</v>
      </c>
      <c r="D566" s="8">
        <v>0.4</v>
      </c>
      <c r="E566" s="8">
        <v>6.5259999999999998</v>
      </c>
      <c r="F566" s="8">
        <v>88.975999999999999</v>
      </c>
      <c r="G566" s="8">
        <v>5.5449999999999999</v>
      </c>
      <c r="H566" s="8"/>
    </row>
    <row r="567" spans="1:8" x14ac:dyDescent="0.35">
      <c r="A567" s="8">
        <v>563</v>
      </c>
      <c r="B567" s="11" t="s">
        <v>8</v>
      </c>
      <c r="C567" s="8">
        <v>0.9</v>
      </c>
      <c r="D567" s="8">
        <v>0.5</v>
      </c>
      <c r="E567" s="8">
        <v>6.59</v>
      </c>
      <c r="F567" s="8">
        <v>86.26</v>
      </c>
      <c r="G567" s="8">
        <v>5.5789999999999997</v>
      </c>
      <c r="H567" s="8"/>
    </row>
    <row r="568" spans="1:8" x14ac:dyDescent="0.35">
      <c r="A568" s="8">
        <v>564</v>
      </c>
      <c r="B568" s="11" t="s">
        <v>8</v>
      </c>
      <c r="C568" s="8">
        <v>0.9</v>
      </c>
      <c r="D568" s="8">
        <v>0.6</v>
      </c>
      <c r="E568" s="8">
        <v>6.617</v>
      </c>
      <c r="F568" s="8">
        <v>83.745000000000005</v>
      </c>
      <c r="G568" s="8">
        <v>5.5860000000000003</v>
      </c>
      <c r="H568" s="8"/>
    </row>
    <row r="569" spans="1:8" x14ac:dyDescent="0.35">
      <c r="A569" s="8">
        <v>565</v>
      </c>
      <c r="B569" s="11" t="s">
        <v>8</v>
      </c>
      <c r="C569" s="8">
        <v>0.9</v>
      </c>
      <c r="D569" s="8">
        <v>0.7</v>
      </c>
      <c r="E569" s="8">
        <v>6.61</v>
      </c>
      <c r="F569" s="8">
        <v>81.436999999999998</v>
      </c>
      <c r="G569" s="8">
        <v>5.5679999999999996</v>
      </c>
      <c r="H569" s="8"/>
    </row>
    <row r="570" spans="1:8" x14ac:dyDescent="0.35">
      <c r="A570" s="8">
        <v>566</v>
      </c>
      <c r="B570" s="11" t="s">
        <v>8</v>
      </c>
      <c r="C570" s="8">
        <v>0.9</v>
      </c>
      <c r="D570" s="8">
        <v>0.8</v>
      </c>
      <c r="E570" s="8">
        <v>6.6820000000000004</v>
      </c>
      <c r="F570" s="8">
        <v>79.477999999999994</v>
      </c>
      <c r="G570" s="8">
        <v>5.61</v>
      </c>
      <c r="H570" s="8"/>
    </row>
    <row r="571" spans="1:8" x14ac:dyDescent="0.35">
      <c r="A571" s="8">
        <v>567</v>
      </c>
      <c r="B571" s="11" t="s">
        <v>8</v>
      </c>
      <c r="C571" s="8">
        <v>0.9</v>
      </c>
      <c r="D571" s="8">
        <v>0.9</v>
      </c>
      <c r="E571" s="8">
        <v>6.7380000000000004</v>
      </c>
      <c r="F571" s="8">
        <v>78.058999999999997</v>
      </c>
      <c r="G571" s="8">
        <v>5.641</v>
      </c>
      <c r="H571" s="8"/>
    </row>
    <row r="572" spans="1:8" x14ac:dyDescent="0.35">
      <c r="A572" s="8">
        <v>568</v>
      </c>
      <c r="B572" s="11" t="s">
        <v>11</v>
      </c>
      <c r="C572" s="8">
        <v>0.1</v>
      </c>
      <c r="D572" s="8">
        <v>0.1</v>
      </c>
      <c r="E572" s="8">
        <v>8.3989999999999991</v>
      </c>
      <c r="F572" s="8">
        <v>92.290999999999997</v>
      </c>
      <c r="G572" s="8">
        <v>6.8949999999999996</v>
      </c>
      <c r="H572" s="8"/>
    </row>
    <row r="573" spans="1:8" x14ac:dyDescent="0.35">
      <c r="A573" s="8">
        <v>569</v>
      </c>
      <c r="B573" s="11" t="s">
        <v>11</v>
      </c>
      <c r="C573" s="8">
        <v>0.1</v>
      </c>
      <c r="D573" s="8">
        <v>0.2</v>
      </c>
      <c r="E573" s="8">
        <v>8.6669999999999998</v>
      </c>
      <c r="F573" s="8">
        <v>99.316000000000003</v>
      </c>
      <c r="G573" s="8">
        <v>7.0910000000000002</v>
      </c>
      <c r="H573" s="8"/>
    </row>
    <row r="574" spans="1:8" x14ac:dyDescent="0.35">
      <c r="A574" s="8">
        <v>570</v>
      </c>
      <c r="B574" s="11" t="s">
        <v>11</v>
      </c>
      <c r="C574" s="8">
        <v>0.1</v>
      </c>
      <c r="D574" s="8">
        <v>0.3</v>
      </c>
      <c r="E574" s="8">
        <v>9.1039999999999992</v>
      </c>
      <c r="F574" s="8">
        <v>112.14</v>
      </c>
      <c r="G574" s="8">
        <v>7.4790000000000001</v>
      </c>
      <c r="H574" s="8"/>
    </row>
    <row r="575" spans="1:8" x14ac:dyDescent="0.35">
      <c r="A575" s="8">
        <v>571</v>
      </c>
      <c r="B575" s="11" t="s">
        <v>11</v>
      </c>
      <c r="C575" s="8">
        <v>0.1</v>
      </c>
      <c r="D575" s="8">
        <v>0.4</v>
      </c>
      <c r="E575" s="8">
        <v>9.3729999999999993</v>
      </c>
      <c r="F575" s="8">
        <v>121.322</v>
      </c>
      <c r="G575" s="8">
        <v>7.6509999999999998</v>
      </c>
      <c r="H575" s="8"/>
    </row>
    <row r="576" spans="1:8" x14ac:dyDescent="0.35">
      <c r="A576" s="8">
        <v>572</v>
      </c>
      <c r="B576" s="11" t="s">
        <v>11</v>
      </c>
      <c r="C576" s="8">
        <v>0.1</v>
      </c>
      <c r="D576" s="8">
        <v>0.5</v>
      </c>
      <c r="E576" s="8">
        <v>10.821</v>
      </c>
      <c r="F576" s="8">
        <v>160.22999999999999</v>
      </c>
      <c r="G576" s="8">
        <v>8.84</v>
      </c>
      <c r="H576" s="8"/>
    </row>
    <row r="577" spans="1:8" x14ac:dyDescent="0.35">
      <c r="A577" s="8">
        <v>573</v>
      </c>
      <c r="B577" s="11" t="s">
        <v>11</v>
      </c>
      <c r="C577" s="8">
        <v>0.1</v>
      </c>
      <c r="D577" s="8">
        <v>0.6</v>
      </c>
      <c r="E577" s="8">
        <v>11.972</v>
      </c>
      <c r="F577" s="8">
        <v>201.33</v>
      </c>
      <c r="G577" s="8">
        <v>9.7750000000000004</v>
      </c>
      <c r="H577" s="8"/>
    </row>
    <row r="578" spans="1:8" x14ac:dyDescent="0.35">
      <c r="A578" s="8">
        <v>574</v>
      </c>
      <c r="B578" s="11" t="s">
        <v>11</v>
      </c>
      <c r="C578" s="8">
        <v>0.1</v>
      </c>
      <c r="D578" s="8">
        <v>0.7</v>
      </c>
      <c r="E578" s="8">
        <v>13.584</v>
      </c>
      <c r="F578" s="8">
        <v>258.767</v>
      </c>
      <c r="G578" s="8">
        <v>11.081</v>
      </c>
      <c r="H578" s="8"/>
    </row>
    <row r="579" spans="1:8" x14ac:dyDescent="0.35">
      <c r="A579" s="8">
        <v>575</v>
      </c>
      <c r="B579" s="11" t="s">
        <v>11</v>
      </c>
      <c r="C579" s="8">
        <v>0.1</v>
      </c>
      <c r="D579" s="8">
        <v>0.8</v>
      </c>
      <c r="E579" s="8">
        <v>15.093999999999999</v>
      </c>
      <c r="F579" s="8">
        <v>332.55700000000002</v>
      </c>
      <c r="G579" s="8">
        <v>12.286</v>
      </c>
      <c r="H579" s="8"/>
    </row>
    <row r="580" spans="1:8" x14ac:dyDescent="0.35">
      <c r="A580" s="8">
        <v>576</v>
      </c>
      <c r="B580" s="11" t="s">
        <v>11</v>
      </c>
      <c r="C580" s="8">
        <v>0.1</v>
      </c>
      <c r="D580" s="8">
        <v>0.9</v>
      </c>
      <c r="E580" s="8">
        <v>15.946</v>
      </c>
      <c r="F580" s="8">
        <v>363.59199999999998</v>
      </c>
      <c r="G580" s="8">
        <v>12.907</v>
      </c>
      <c r="H580" s="8"/>
    </row>
    <row r="581" spans="1:8" x14ac:dyDescent="0.35">
      <c r="A581" s="8">
        <v>577</v>
      </c>
      <c r="B581" s="11" t="s">
        <v>11</v>
      </c>
      <c r="C581" s="8">
        <v>0.2</v>
      </c>
      <c r="D581" s="8">
        <v>0.1</v>
      </c>
      <c r="E581" s="8">
        <v>8.1769999999999996</v>
      </c>
      <c r="F581" s="8">
        <v>90.454999999999998</v>
      </c>
      <c r="G581" s="8">
        <v>6.68</v>
      </c>
      <c r="H581" s="8"/>
    </row>
    <row r="582" spans="1:8" x14ac:dyDescent="0.35">
      <c r="A582" s="8">
        <v>578</v>
      </c>
      <c r="B582" s="11" t="s">
        <v>11</v>
      </c>
      <c r="C582" s="8">
        <v>0.2</v>
      </c>
      <c r="D582" s="8">
        <v>0.2</v>
      </c>
      <c r="E582" s="8">
        <v>8.8079999999999998</v>
      </c>
      <c r="F582" s="8">
        <v>106.533</v>
      </c>
      <c r="G582" s="8">
        <v>7.1840000000000002</v>
      </c>
      <c r="H582" s="8"/>
    </row>
    <row r="583" spans="1:8" x14ac:dyDescent="0.35">
      <c r="A583" s="8">
        <v>579</v>
      </c>
      <c r="B583" s="11" t="s">
        <v>11</v>
      </c>
      <c r="C583" s="8">
        <v>0.2</v>
      </c>
      <c r="D583" s="8">
        <v>0.3</v>
      </c>
      <c r="E583" s="8">
        <v>9.5530000000000008</v>
      </c>
      <c r="F583" s="8">
        <v>126.651</v>
      </c>
      <c r="G583" s="8">
        <v>7.7809999999999997</v>
      </c>
      <c r="H583" s="8"/>
    </row>
    <row r="584" spans="1:8" x14ac:dyDescent="0.35">
      <c r="A584" s="8">
        <v>580</v>
      </c>
      <c r="B584" s="11" t="s">
        <v>11</v>
      </c>
      <c r="C584" s="8">
        <v>0.2</v>
      </c>
      <c r="D584" s="8">
        <v>0.4</v>
      </c>
      <c r="E584" s="8">
        <v>10.18</v>
      </c>
      <c r="F584" s="8">
        <v>142.32</v>
      </c>
      <c r="G584" s="8">
        <v>8.2880000000000003</v>
      </c>
      <c r="H584" s="8"/>
    </row>
    <row r="585" spans="1:8" x14ac:dyDescent="0.35">
      <c r="A585" s="8">
        <v>581</v>
      </c>
      <c r="B585" s="11" t="s">
        <v>11</v>
      </c>
      <c r="C585" s="8">
        <v>0.2</v>
      </c>
      <c r="D585" s="8">
        <v>0.5</v>
      </c>
      <c r="E585" s="8">
        <v>10.141</v>
      </c>
      <c r="F585" s="8">
        <v>142.83000000000001</v>
      </c>
      <c r="G585" s="8">
        <v>8.2509999999999994</v>
      </c>
      <c r="H585" s="8"/>
    </row>
    <row r="586" spans="1:8" x14ac:dyDescent="0.35">
      <c r="A586" s="8">
        <v>582</v>
      </c>
      <c r="B586" s="11" t="s">
        <v>11</v>
      </c>
      <c r="C586" s="8">
        <v>0.2</v>
      </c>
      <c r="D586" s="8">
        <v>0.6</v>
      </c>
      <c r="E586" s="8">
        <v>9.5920000000000005</v>
      </c>
      <c r="F586" s="8">
        <v>132.23500000000001</v>
      </c>
      <c r="G586" s="8">
        <v>7.8339999999999996</v>
      </c>
      <c r="H586" s="8"/>
    </row>
    <row r="587" spans="1:8" x14ac:dyDescent="0.35">
      <c r="A587" s="8">
        <v>583</v>
      </c>
      <c r="B587" s="11" t="s">
        <v>11</v>
      </c>
      <c r="C587" s="8">
        <v>0.2</v>
      </c>
      <c r="D587" s="8">
        <v>0.7</v>
      </c>
      <c r="E587" s="8">
        <v>9.0500000000000007</v>
      </c>
      <c r="F587" s="8">
        <v>121.08499999999999</v>
      </c>
      <c r="G587" s="8">
        <v>7.4139999999999997</v>
      </c>
      <c r="H587" s="8"/>
    </row>
    <row r="588" spans="1:8" x14ac:dyDescent="0.35">
      <c r="A588" s="8">
        <v>584</v>
      </c>
      <c r="B588" s="11" t="s">
        <v>11</v>
      </c>
      <c r="C588" s="8">
        <v>0.2</v>
      </c>
      <c r="D588" s="8">
        <v>0.8</v>
      </c>
      <c r="E588" s="8">
        <v>8.7240000000000002</v>
      </c>
      <c r="F588" s="8">
        <v>113.532</v>
      </c>
      <c r="G588" s="8">
        <v>7.16</v>
      </c>
      <c r="H588" s="8"/>
    </row>
    <row r="589" spans="1:8" x14ac:dyDescent="0.35">
      <c r="A589" s="8">
        <v>585</v>
      </c>
      <c r="B589" s="11" t="s">
        <v>11</v>
      </c>
      <c r="C589" s="8">
        <v>0.2</v>
      </c>
      <c r="D589" s="8">
        <v>0.9</v>
      </c>
      <c r="E589" s="8">
        <v>8.5440000000000005</v>
      </c>
      <c r="F589" s="8">
        <v>110.11499999999999</v>
      </c>
      <c r="G589" s="8">
        <v>7.0220000000000002</v>
      </c>
      <c r="H589" s="8"/>
    </row>
    <row r="590" spans="1:8" x14ac:dyDescent="0.35">
      <c r="A590" s="8">
        <v>586</v>
      </c>
      <c r="B590" s="11" t="s">
        <v>11</v>
      </c>
      <c r="C590" s="8">
        <v>0.3</v>
      </c>
      <c r="D590" s="8">
        <v>0.1</v>
      </c>
      <c r="E590" s="8">
        <v>8.0139999999999993</v>
      </c>
      <c r="F590" s="8">
        <v>84.900999999999996</v>
      </c>
      <c r="G590" s="8">
        <v>6.5469999999999997</v>
      </c>
      <c r="H590" s="8"/>
    </row>
    <row r="591" spans="1:8" x14ac:dyDescent="0.35">
      <c r="A591" s="8">
        <v>587</v>
      </c>
      <c r="B591" s="11" t="s">
        <v>11</v>
      </c>
      <c r="C591" s="8">
        <v>0.3</v>
      </c>
      <c r="D591" s="8">
        <v>0.2</v>
      </c>
      <c r="E591" s="8">
        <v>8.5589999999999993</v>
      </c>
      <c r="F591" s="8">
        <v>96.36</v>
      </c>
      <c r="G591" s="8">
        <v>6.9909999999999997</v>
      </c>
      <c r="H591" s="8"/>
    </row>
    <row r="592" spans="1:8" x14ac:dyDescent="0.35">
      <c r="A592" s="8">
        <v>588</v>
      </c>
      <c r="B592" s="11" t="s">
        <v>11</v>
      </c>
      <c r="C592" s="8">
        <v>0.3</v>
      </c>
      <c r="D592" s="8">
        <v>0.3</v>
      </c>
      <c r="E592" s="8">
        <v>8.76</v>
      </c>
      <c r="F592" s="8">
        <v>103.503</v>
      </c>
      <c r="G592" s="8">
        <v>7.1559999999999997</v>
      </c>
      <c r="H592" s="8"/>
    </row>
    <row r="593" spans="1:8" x14ac:dyDescent="0.35">
      <c r="A593" s="8">
        <v>589</v>
      </c>
      <c r="B593" s="11" t="s">
        <v>11</v>
      </c>
      <c r="C593" s="8">
        <v>0.3</v>
      </c>
      <c r="D593" s="8">
        <v>0.4</v>
      </c>
      <c r="E593" s="8">
        <v>8.6620000000000008</v>
      </c>
      <c r="F593" s="8">
        <v>104.376</v>
      </c>
      <c r="G593" s="8">
        <v>7.0890000000000004</v>
      </c>
      <c r="H593" s="8"/>
    </row>
    <row r="594" spans="1:8" x14ac:dyDescent="0.35">
      <c r="A594" s="8">
        <v>590</v>
      </c>
      <c r="B594" s="11" t="s">
        <v>11</v>
      </c>
      <c r="C594" s="8">
        <v>0.3</v>
      </c>
      <c r="D594" s="8">
        <v>0.5</v>
      </c>
      <c r="E594" s="8">
        <v>8.48</v>
      </c>
      <c r="F594" s="8">
        <v>102.998</v>
      </c>
      <c r="G594" s="8">
        <v>6.96</v>
      </c>
      <c r="H594" s="8"/>
    </row>
    <row r="595" spans="1:8" x14ac:dyDescent="0.35">
      <c r="A595" s="8">
        <v>591</v>
      </c>
      <c r="B595" s="11" t="s">
        <v>11</v>
      </c>
      <c r="C595" s="8">
        <v>0.3</v>
      </c>
      <c r="D595" s="8">
        <v>0.6</v>
      </c>
      <c r="E595" s="8">
        <v>8.3409999999999993</v>
      </c>
      <c r="F595" s="8">
        <v>102.711</v>
      </c>
      <c r="G595" s="8">
        <v>6.8630000000000004</v>
      </c>
      <c r="H595" s="8"/>
    </row>
    <row r="596" spans="1:8" x14ac:dyDescent="0.35">
      <c r="A596" s="8">
        <v>592</v>
      </c>
      <c r="B596" s="11" t="s">
        <v>11</v>
      </c>
      <c r="C596" s="8">
        <v>0.3</v>
      </c>
      <c r="D596" s="8">
        <v>0.7</v>
      </c>
      <c r="E596" s="8">
        <v>8.3130000000000006</v>
      </c>
      <c r="F596" s="8">
        <v>104.13800000000001</v>
      </c>
      <c r="G596" s="8">
        <v>6.8570000000000002</v>
      </c>
      <c r="H596" s="8"/>
    </row>
    <row r="597" spans="1:8" x14ac:dyDescent="0.35">
      <c r="A597" s="8">
        <v>593</v>
      </c>
      <c r="B597" s="11" t="s">
        <v>11</v>
      </c>
      <c r="C597" s="8">
        <v>0.3</v>
      </c>
      <c r="D597" s="8">
        <v>0.8</v>
      </c>
      <c r="E597" s="8">
        <v>8.3219999999999992</v>
      </c>
      <c r="F597" s="8">
        <v>106.794</v>
      </c>
      <c r="G597" s="8">
        <v>6.88</v>
      </c>
      <c r="H597" s="8"/>
    </row>
    <row r="598" spans="1:8" x14ac:dyDescent="0.35">
      <c r="A598" s="8">
        <v>594</v>
      </c>
      <c r="B598" s="11" t="s">
        <v>11</v>
      </c>
      <c r="C598" s="8">
        <v>0.3</v>
      </c>
      <c r="D598" s="8">
        <v>0.9</v>
      </c>
      <c r="E598" s="8">
        <v>8.3330000000000002</v>
      </c>
      <c r="F598" s="8">
        <v>110.304</v>
      </c>
      <c r="G598" s="8">
        <v>6.9</v>
      </c>
      <c r="H598" s="8"/>
    </row>
    <row r="599" spans="1:8" x14ac:dyDescent="0.35">
      <c r="A599" s="8">
        <v>595</v>
      </c>
      <c r="B599" s="11" t="s">
        <v>11</v>
      </c>
      <c r="C599" s="8">
        <v>0.4</v>
      </c>
      <c r="D599" s="8">
        <v>0.1</v>
      </c>
      <c r="E599" s="8">
        <v>7.843</v>
      </c>
      <c r="F599" s="8">
        <v>78.97</v>
      </c>
      <c r="G599" s="8">
        <v>6.4210000000000003</v>
      </c>
      <c r="H599" s="8"/>
    </row>
    <row r="600" spans="1:8" x14ac:dyDescent="0.35">
      <c r="A600" s="8">
        <v>596</v>
      </c>
      <c r="B600" s="11" t="s">
        <v>11</v>
      </c>
      <c r="C600" s="8">
        <v>0.4</v>
      </c>
      <c r="D600" s="8">
        <v>0.2</v>
      </c>
      <c r="E600" s="8">
        <v>8.0619999999999994</v>
      </c>
      <c r="F600" s="8">
        <v>86.697000000000003</v>
      </c>
      <c r="G600" s="8">
        <v>6.6029999999999998</v>
      </c>
      <c r="H600" s="8"/>
    </row>
    <row r="601" spans="1:8" x14ac:dyDescent="0.35">
      <c r="A601" s="8">
        <v>597</v>
      </c>
      <c r="B601" s="11" t="s">
        <v>11</v>
      </c>
      <c r="C601" s="8">
        <v>0.4</v>
      </c>
      <c r="D601" s="8">
        <v>0.3</v>
      </c>
      <c r="E601" s="8">
        <v>8.0559999999999992</v>
      </c>
      <c r="F601" s="8">
        <v>91.302000000000007</v>
      </c>
      <c r="G601" s="8">
        <v>6.6059999999999999</v>
      </c>
      <c r="H601" s="8"/>
    </row>
    <row r="602" spans="1:8" x14ac:dyDescent="0.35">
      <c r="A602" s="8">
        <v>598</v>
      </c>
      <c r="B602" s="11" t="s">
        <v>11</v>
      </c>
      <c r="C602" s="8">
        <v>0.4</v>
      </c>
      <c r="D602" s="8">
        <v>0.4</v>
      </c>
      <c r="E602" s="8">
        <v>7.9720000000000004</v>
      </c>
      <c r="F602" s="8">
        <v>94.168000000000006</v>
      </c>
      <c r="G602" s="8">
        <v>6.5570000000000004</v>
      </c>
      <c r="H602" s="8"/>
    </row>
    <row r="603" spans="1:8" x14ac:dyDescent="0.35">
      <c r="A603" s="8">
        <v>599</v>
      </c>
      <c r="B603" s="11" t="s">
        <v>11</v>
      </c>
      <c r="C603" s="8">
        <v>0.4</v>
      </c>
      <c r="D603" s="8">
        <v>0.5</v>
      </c>
      <c r="E603" s="8">
        <v>7.9240000000000004</v>
      </c>
      <c r="F603" s="8">
        <v>97.207999999999998</v>
      </c>
      <c r="G603" s="8">
        <v>6.5380000000000003</v>
      </c>
      <c r="H603" s="8"/>
    </row>
    <row r="604" spans="1:8" x14ac:dyDescent="0.35">
      <c r="A604" s="8">
        <v>600</v>
      </c>
      <c r="B604" s="11" t="s">
        <v>11</v>
      </c>
      <c r="C604" s="8">
        <v>0.4</v>
      </c>
      <c r="D604" s="8">
        <v>0.6</v>
      </c>
      <c r="E604" s="8">
        <v>7.8860000000000001</v>
      </c>
      <c r="F604" s="8">
        <v>101.02500000000001</v>
      </c>
      <c r="G604" s="8">
        <v>6.5229999999999997</v>
      </c>
      <c r="H604" s="8"/>
    </row>
    <row r="605" spans="1:8" x14ac:dyDescent="0.35">
      <c r="A605" s="8">
        <v>601</v>
      </c>
      <c r="B605" s="11" t="s">
        <v>11</v>
      </c>
      <c r="C605" s="8">
        <v>0.4</v>
      </c>
      <c r="D605" s="8">
        <v>0.7</v>
      </c>
      <c r="E605" s="8">
        <v>7.8639999999999999</v>
      </c>
      <c r="F605" s="8">
        <v>105.649</v>
      </c>
      <c r="G605" s="8">
        <v>6.5179999999999998</v>
      </c>
      <c r="H605" s="8"/>
    </row>
    <row r="606" spans="1:8" x14ac:dyDescent="0.35">
      <c r="A606" s="8">
        <v>602</v>
      </c>
      <c r="B606" s="11" t="s">
        <v>11</v>
      </c>
      <c r="C606" s="8">
        <v>0.4</v>
      </c>
      <c r="D606" s="8">
        <v>0.8</v>
      </c>
      <c r="E606" s="8">
        <v>7.891</v>
      </c>
      <c r="F606" s="8">
        <v>111.09099999999999</v>
      </c>
      <c r="G606" s="8">
        <v>6.5469999999999997</v>
      </c>
      <c r="H606" s="8"/>
    </row>
    <row r="607" spans="1:8" x14ac:dyDescent="0.35">
      <c r="A607" s="8">
        <v>603</v>
      </c>
      <c r="B607" s="11" t="s">
        <v>11</v>
      </c>
      <c r="C607" s="8">
        <v>0.4</v>
      </c>
      <c r="D607" s="8">
        <v>0.9</v>
      </c>
      <c r="E607" s="8">
        <v>8.0459999999999994</v>
      </c>
      <c r="F607" s="8">
        <v>117.301</v>
      </c>
      <c r="G607" s="8">
        <v>6.6719999999999997</v>
      </c>
      <c r="H607" s="8"/>
    </row>
    <row r="608" spans="1:8" x14ac:dyDescent="0.35">
      <c r="A608" s="8">
        <v>604</v>
      </c>
      <c r="B608" s="11" t="s">
        <v>11</v>
      </c>
      <c r="C608" s="8">
        <v>0.5</v>
      </c>
      <c r="D608" s="8">
        <v>0.1</v>
      </c>
      <c r="E608" s="8">
        <v>7.5839999999999996</v>
      </c>
      <c r="F608" s="8">
        <v>75.003</v>
      </c>
      <c r="G608" s="8">
        <v>6.2220000000000004</v>
      </c>
      <c r="H608" s="8"/>
    </row>
    <row r="609" spans="1:8" x14ac:dyDescent="0.35">
      <c r="A609" s="8">
        <v>605</v>
      </c>
      <c r="B609" s="11" t="s">
        <v>11</v>
      </c>
      <c r="C609" s="8">
        <v>0.5</v>
      </c>
      <c r="D609" s="8">
        <v>0.2</v>
      </c>
      <c r="E609" s="8">
        <v>7.6349999999999998</v>
      </c>
      <c r="F609" s="8">
        <v>81.677000000000007</v>
      </c>
      <c r="G609" s="8">
        <v>6.2709999999999999</v>
      </c>
      <c r="H609" s="8"/>
    </row>
    <row r="610" spans="1:8" x14ac:dyDescent="0.35">
      <c r="A610" s="8">
        <v>606</v>
      </c>
      <c r="B610" s="11" t="s">
        <v>11</v>
      </c>
      <c r="C610" s="8">
        <v>0.5</v>
      </c>
      <c r="D610" s="8">
        <v>0.3</v>
      </c>
      <c r="E610" s="8">
        <v>7.5620000000000003</v>
      </c>
      <c r="F610" s="8">
        <v>86.844999999999999</v>
      </c>
      <c r="G610" s="8">
        <v>6.226</v>
      </c>
      <c r="H610" s="8"/>
    </row>
    <row r="611" spans="1:8" x14ac:dyDescent="0.35">
      <c r="A611" s="8">
        <v>607</v>
      </c>
      <c r="B611" s="11" t="s">
        <v>11</v>
      </c>
      <c r="C611" s="8">
        <v>0.5</v>
      </c>
      <c r="D611" s="8">
        <v>0.4</v>
      </c>
      <c r="E611" s="8">
        <v>7.5629999999999997</v>
      </c>
      <c r="F611" s="8">
        <v>91.513999999999996</v>
      </c>
      <c r="G611" s="8">
        <v>6.2480000000000002</v>
      </c>
      <c r="H611" s="8"/>
    </row>
    <row r="612" spans="1:8" x14ac:dyDescent="0.35">
      <c r="A612" s="8">
        <v>608</v>
      </c>
      <c r="B612" s="11" t="s">
        <v>11</v>
      </c>
      <c r="C612" s="8">
        <v>0.5</v>
      </c>
      <c r="D612" s="8">
        <v>0.5</v>
      </c>
      <c r="E612" s="8">
        <v>7.5469999999999997</v>
      </c>
      <c r="F612" s="8">
        <v>96.393000000000001</v>
      </c>
      <c r="G612" s="8">
        <v>6.25</v>
      </c>
      <c r="H612" s="8"/>
    </row>
    <row r="613" spans="1:8" x14ac:dyDescent="0.35">
      <c r="A613" s="8">
        <v>609</v>
      </c>
      <c r="B613" s="11" t="s">
        <v>11</v>
      </c>
      <c r="C613" s="8">
        <v>0.5</v>
      </c>
      <c r="D613" s="8">
        <v>0.6</v>
      </c>
      <c r="E613" s="8">
        <v>7.5339999999999998</v>
      </c>
      <c r="F613" s="8">
        <v>101.688</v>
      </c>
      <c r="G613" s="8">
        <v>6.2489999999999997</v>
      </c>
      <c r="H613" s="8"/>
    </row>
    <row r="614" spans="1:8" x14ac:dyDescent="0.35">
      <c r="A614" s="8">
        <v>610</v>
      </c>
      <c r="B614" s="11" t="s">
        <v>11</v>
      </c>
      <c r="C614" s="8">
        <v>0.5</v>
      </c>
      <c r="D614" s="8">
        <v>0.7</v>
      </c>
      <c r="E614" s="8">
        <v>7.593</v>
      </c>
      <c r="F614" s="8">
        <v>107.429</v>
      </c>
      <c r="G614" s="8">
        <v>6.2990000000000004</v>
      </c>
      <c r="H614" s="8"/>
    </row>
    <row r="615" spans="1:8" x14ac:dyDescent="0.35">
      <c r="A615" s="8">
        <v>611</v>
      </c>
      <c r="B615" s="11" t="s">
        <v>11</v>
      </c>
      <c r="C615" s="8">
        <v>0.5</v>
      </c>
      <c r="D615" s="8">
        <v>0.8</v>
      </c>
      <c r="E615" s="8">
        <v>7.7069999999999999</v>
      </c>
      <c r="F615" s="8">
        <v>113.544</v>
      </c>
      <c r="G615" s="8">
        <v>6.3869999999999996</v>
      </c>
      <c r="H615" s="8"/>
    </row>
    <row r="616" spans="1:8" x14ac:dyDescent="0.35">
      <c r="A616" s="8">
        <v>612</v>
      </c>
      <c r="B616" s="11" t="s">
        <v>11</v>
      </c>
      <c r="C616" s="8">
        <v>0.5</v>
      </c>
      <c r="D616" s="8">
        <v>0.9</v>
      </c>
      <c r="E616" s="8">
        <v>7.923</v>
      </c>
      <c r="F616" s="8">
        <v>119.916</v>
      </c>
      <c r="G616" s="8">
        <v>6.5490000000000004</v>
      </c>
      <c r="H616" s="8"/>
    </row>
    <row r="617" spans="1:8" x14ac:dyDescent="0.35">
      <c r="A617" s="8">
        <v>613</v>
      </c>
      <c r="B617" s="11" t="s">
        <v>11</v>
      </c>
      <c r="C617" s="8">
        <v>0.6</v>
      </c>
      <c r="D617" s="8">
        <v>0.1</v>
      </c>
      <c r="E617" s="8">
        <v>7.2809999999999997</v>
      </c>
      <c r="F617" s="8">
        <v>72.638999999999996</v>
      </c>
      <c r="G617" s="8">
        <v>5.9870000000000001</v>
      </c>
      <c r="H617" s="8"/>
    </row>
    <row r="618" spans="1:8" x14ac:dyDescent="0.35">
      <c r="A618" s="8">
        <v>614</v>
      </c>
      <c r="B618" s="11" t="s">
        <v>11</v>
      </c>
      <c r="C618" s="8">
        <v>0.6</v>
      </c>
      <c r="D618" s="8">
        <v>0.2</v>
      </c>
      <c r="E618" s="8">
        <v>7.2590000000000003</v>
      </c>
      <c r="F618" s="8">
        <v>79.134</v>
      </c>
      <c r="G618" s="8">
        <v>5.9779999999999998</v>
      </c>
      <c r="H618" s="8"/>
    </row>
    <row r="619" spans="1:8" x14ac:dyDescent="0.35">
      <c r="A619" s="8">
        <v>615</v>
      </c>
      <c r="B619" s="11" t="s">
        <v>11</v>
      </c>
      <c r="C619" s="8">
        <v>0.6</v>
      </c>
      <c r="D619" s="8">
        <v>0.3</v>
      </c>
      <c r="E619" s="8">
        <v>7.2549999999999999</v>
      </c>
      <c r="F619" s="8">
        <v>84.846000000000004</v>
      </c>
      <c r="G619" s="8">
        <v>5.9960000000000004</v>
      </c>
      <c r="H619" s="8"/>
    </row>
    <row r="620" spans="1:8" x14ac:dyDescent="0.35">
      <c r="A620" s="8">
        <v>616</v>
      </c>
      <c r="B620" s="11" t="s">
        <v>11</v>
      </c>
      <c r="C620" s="8">
        <v>0.6</v>
      </c>
      <c r="D620" s="8">
        <v>0.4</v>
      </c>
      <c r="E620" s="8">
        <v>7.2270000000000003</v>
      </c>
      <c r="F620" s="8">
        <v>90.248999999999995</v>
      </c>
      <c r="G620" s="8">
        <v>5.99</v>
      </c>
      <c r="H620" s="8"/>
    </row>
    <row r="621" spans="1:8" x14ac:dyDescent="0.35">
      <c r="A621" s="8">
        <v>617</v>
      </c>
      <c r="B621" s="11" t="s">
        <v>11</v>
      </c>
      <c r="C621" s="8">
        <v>0.6</v>
      </c>
      <c r="D621" s="8">
        <v>0.5</v>
      </c>
      <c r="E621" s="8">
        <v>7.1689999999999996</v>
      </c>
      <c r="F621" s="8">
        <v>95.632000000000005</v>
      </c>
      <c r="G621" s="8">
        <v>5.9550000000000001</v>
      </c>
      <c r="H621" s="8"/>
    </row>
    <row r="622" spans="1:8" x14ac:dyDescent="0.35">
      <c r="A622" s="8">
        <v>618</v>
      </c>
      <c r="B622" s="11" t="s">
        <v>11</v>
      </c>
      <c r="C622" s="8">
        <v>0.6</v>
      </c>
      <c r="D622" s="8">
        <v>0.6</v>
      </c>
      <c r="E622" s="8">
        <v>7.1669999999999998</v>
      </c>
      <c r="F622" s="8">
        <v>101.078</v>
      </c>
      <c r="G622" s="8">
        <v>5.9569999999999999</v>
      </c>
      <c r="H622" s="8"/>
    </row>
    <row r="623" spans="1:8" x14ac:dyDescent="0.35">
      <c r="A623" s="8">
        <v>619</v>
      </c>
      <c r="B623" s="11" t="s">
        <v>11</v>
      </c>
      <c r="C623" s="8">
        <v>0.6</v>
      </c>
      <c r="D623" s="8">
        <v>0.7</v>
      </c>
      <c r="E623" s="8">
        <v>7.4269999999999996</v>
      </c>
      <c r="F623" s="8">
        <v>106.553</v>
      </c>
      <c r="G623" s="8">
        <v>6.1559999999999997</v>
      </c>
      <c r="H623" s="8"/>
    </row>
    <row r="624" spans="1:8" x14ac:dyDescent="0.35">
      <c r="A624" s="8">
        <v>620</v>
      </c>
      <c r="B624" s="11" t="s">
        <v>11</v>
      </c>
      <c r="C624" s="8">
        <v>0.6</v>
      </c>
      <c r="D624" s="8">
        <v>0.8</v>
      </c>
      <c r="E624" s="8">
        <v>7.7960000000000003</v>
      </c>
      <c r="F624" s="8">
        <v>111.938</v>
      </c>
      <c r="G624" s="8">
        <v>6.4340000000000002</v>
      </c>
      <c r="H624" s="8"/>
    </row>
    <row r="625" spans="1:8" x14ac:dyDescent="0.35">
      <c r="A625" s="8">
        <v>621</v>
      </c>
      <c r="B625" s="11" t="s">
        <v>11</v>
      </c>
      <c r="C625" s="8">
        <v>0.6</v>
      </c>
      <c r="D625" s="8">
        <v>0.9</v>
      </c>
      <c r="E625" s="8">
        <v>8.1129999999999995</v>
      </c>
      <c r="F625" s="8">
        <v>117.05800000000001</v>
      </c>
      <c r="G625" s="8">
        <v>6.67</v>
      </c>
      <c r="H625" s="8"/>
    </row>
    <row r="626" spans="1:8" x14ac:dyDescent="0.35">
      <c r="A626" s="8">
        <v>622</v>
      </c>
      <c r="B626" s="11" t="s">
        <v>11</v>
      </c>
      <c r="C626" s="8">
        <v>0.7</v>
      </c>
      <c r="D626" s="8">
        <v>0.1</v>
      </c>
      <c r="E626" s="8">
        <v>6.9459999999999997</v>
      </c>
      <c r="F626" s="8">
        <v>71.343999999999994</v>
      </c>
      <c r="G626" s="8">
        <v>5.7249999999999996</v>
      </c>
      <c r="H626" s="8"/>
    </row>
    <row r="627" spans="1:8" x14ac:dyDescent="0.35">
      <c r="A627" s="8">
        <v>623</v>
      </c>
      <c r="B627" s="11" t="s">
        <v>11</v>
      </c>
      <c r="C627" s="8">
        <v>0.7</v>
      </c>
      <c r="D627" s="8">
        <v>0.2</v>
      </c>
      <c r="E627" s="8">
        <v>6.9539999999999997</v>
      </c>
      <c r="F627" s="8">
        <v>77.786000000000001</v>
      </c>
      <c r="G627" s="8">
        <v>5.7409999999999997</v>
      </c>
      <c r="H627" s="8"/>
    </row>
    <row r="628" spans="1:8" x14ac:dyDescent="0.35">
      <c r="A628" s="8">
        <v>624</v>
      </c>
      <c r="B628" s="11" t="s">
        <v>11</v>
      </c>
      <c r="C628" s="8">
        <v>0.7</v>
      </c>
      <c r="D628" s="8">
        <v>0.3</v>
      </c>
      <c r="E628" s="8">
        <v>6.9749999999999996</v>
      </c>
      <c r="F628" s="8">
        <v>83.659000000000006</v>
      </c>
      <c r="G628" s="8">
        <v>5.7789999999999999</v>
      </c>
      <c r="H628" s="8"/>
    </row>
    <row r="629" spans="1:8" x14ac:dyDescent="0.35">
      <c r="A629" s="8">
        <v>625</v>
      </c>
      <c r="B629" s="11" t="s">
        <v>11</v>
      </c>
      <c r="C629" s="8">
        <v>0.7</v>
      </c>
      <c r="D629" s="8">
        <v>0.4</v>
      </c>
      <c r="E629" s="8">
        <v>7.0229999999999997</v>
      </c>
      <c r="F629" s="8">
        <v>89.123999999999995</v>
      </c>
      <c r="G629" s="8">
        <v>5.8280000000000003</v>
      </c>
      <c r="H629" s="8"/>
    </row>
    <row r="630" spans="1:8" x14ac:dyDescent="0.35">
      <c r="A630" s="8">
        <v>626</v>
      </c>
      <c r="B630" s="11" t="s">
        <v>11</v>
      </c>
      <c r="C630" s="8">
        <v>0.7</v>
      </c>
      <c r="D630" s="8">
        <v>0.5</v>
      </c>
      <c r="E630" s="8">
        <v>7.125</v>
      </c>
      <c r="F630" s="8">
        <v>94.293000000000006</v>
      </c>
      <c r="G630" s="8">
        <v>5.9119999999999999</v>
      </c>
      <c r="H630" s="8"/>
    </row>
    <row r="631" spans="1:8" x14ac:dyDescent="0.35">
      <c r="A631" s="8">
        <v>627</v>
      </c>
      <c r="B631" s="11" t="s">
        <v>11</v>
      </c>
      <c r="C631" s="8">
        <v>0.7</v>
      </c>
      <c r="D631" s="8">
        <v>0.6</v>
      </c>
      <c r="E631" s="8">
        <v>7.343</v>
      </c>
      <c r="F631" s="8">
        <v>99.182000000000002</v>
      </c>
      <c r="G631" s="8">
        <v>6.0789999999999997</v>
      </c>
      <c r="H631" s="8"/>
    </row>
    <row r="632" spans="1:8" x14ac:dyDescent="0.35">
      <c r="A632" s="8">
        <v>628</v>
      </c>
      <c r="B632" s="11" t="s">
        <v>11</v>
      </c>
      <c r="C632" s="8">
        <v>0.7</v>
      </c>
      <c r="D632" s="8">
        <v>0.7</v>
      </c>
      <c r="E632" s="8">
        <v>7.6210000000000004</v>
      </c>
      <c r="F632" s="8">
        <v>103.714</v>
      </c>
      <c r="G632" s="8">
        <v>6.2859999999999996</v>
      </c>
      <c r="H632" s="8"/>
    </row>
    <row r="633" spans="1:8" x14ac:dyDescent="0.35">
      <c r="A633" s="8">
        <v>629</v>
      </c>
      <c r="B633" s="11" t="s">
        <v>11</v>
      </c>
      <c r="C633" s="8">
        <v>0.7</v>
      </c>
      <c r="D633" s="8">
        <v>0.8</v>
      </c>
      <c r="E633" s="8">
        <v>7.8310000000000004</v>
      </c>
      <c r="F633" s="8">
        <v>107.758</v>
      </c>
      <c r="G633" s="8">
        <v>6.4379999999999997</v>
      </c>
      <c r="H633" s="8"/>
    </row>
    <row r="634" spans="1:8" x14ac:dyDescent="0.35">
      <c r="A634" s="8">
        <v>630</v>
      </c>
      <c r="B634" s="11" t="s">
        <v>11</v>
      </c>
      <c r="C634" s="8">
        <v>0.7</v>
      </c>
      <c r="D634" s="8">
        <v>0.9</v>
      </c>
      <c r="E634" s="8">
        <v>7.9450000000000003</v>
      </c>
      <c r="F634" s="8">
        <v>111.181</v>
      </c>
      <c r="G634" s="8">
        <v>6.516</v>
      </c>
      <c r="H634" s="8"/>
    </row>
    <row r="635" spans="1:8" x14ac:dyDescent="0.35">
      <c r="A635" s="8">
        <v>631</v>
      </c>
      <c r="B635" s="11" t="s">
        <v>11</v>
      </c>
      <c r="C635" s="8">
        <v>0.8</v>
      </c>
      <c r="D635" s="8">
        <v>0.1</v>
      </c>
      <c r="E635" s="8">
        <v>6.6890000000000001</v>
      </c>
      <c r="F635" s="8">
        <v>70.936999999999998</v>
      </c>
      <c r="G635" s="8">
        <v>5.5179999999999998</v>
      </c>
      <c r="H635" s="8"/>
    </row>
    <row r="636" spans="1:8" x14ac:dyDescent="0.35">
      <c r="A636" s="8">
        <v>632</v>
      </c>
      <c r="B636" s="11" t="s">
        <v>11</v>
      </c>
      <c r="C636" s="8">
        <v>0.8</v>
      </c>
      <c r="D636" s="8">
        <v>0.2</v>
      </c>
      <c r="E636" s="8">
        <v>6.8620000000000001</v>
      </c>
      <c r="F636" s="8">
        <v>77.328999999999994</v>
      </c>
      <c r="G636" s="8">
        <v>5.6719999999999997</v>
      </c>
      <c r="H636" s="8"/>
    </row>
    <row r="637" spans="1:8" x14ac:dyDescent="0.35">
      <c r="A637" s="8">
        <v>633</v>
      </c>
      <c r="B637" s="11" t="s">
        <v>11</v>
      </c>
      <c r="C637" s="8">
        <v>0.8</v>
      </c>
      <c r="D637" s="8">
        <v>0.3</v>
      </c>
      <c r="E637" s="8">
        <v>6.9729999999999999</v>
      </c>
      <c r="F637" s="8">
        <v>83.174000000000007</v>
      </c>
      <c r="G637" s="8">
        <v>5.7759999999999998</v>
      </c>
      <c r="H637" s="8"/>
    </row>
    <row r="638" spans="1:8" x14ac:dyDescent="0.35">
      <c r="A638" s="8">
        <v>634</v>
      </c>
      <c r="B638" s="11" t="s">
        <v>11</v>
      </c>
      <c r="C638" s="8">
        <v>0.8</v>
      </c>
      <c r="D638" s="8">
        <v>0.4</v>
      </c>
      <c r="E638" s="8">
        <v>7.093</v>
      </c>
      <c r="F638" s="8">
        <v>88.481999999999999</v>
      </c>
      <c r="G638" s="8">
        <v>5.8760000000000003</v>
      </c>
      <c r="H638" s="8"/>
    </row>
    <row r="639" spans="1:8" x14ac:dyDescent="0.35">
      <c r="A639" s="8">
        <v>635</v>
      </c>
      <c r="B639" s="11" t="s">
        <v>11</v>
      </c>
      <c r="C639" s="8">
        <v>0.8</v>
      </c>
      <c r="D639" s="8">
        <v>0.5</v>
      </c>
      <c r="E639" s="8">
        <v>7.2469999999999999</v>
      </c>
      <c r="F639" s="8">
        <v>93.314999999999998</v>
      </c>
      <c r="G639" s="8">
        <v>5.9969999999999999</v>
      </c>
      <c r="H639" s="8"/>
    </row>
    <row r="640" spans="1:8" x14ac:dyDescent="0.35">
      <c r="A640" s="8">
        <v>636</v>
      </c>
      <c r="B640" s="11" t="s">
        <v>11</v>
      </c>
      <c r="C640" s="8">
        <v>0.8</v>
      </c>
      <c r="D640" s="8">
        <v>0.6</v>
      </c>
      <c r="E640" s="8">
        <v>7.38</v>
      </c>
      <c r="F640" s="8">
        <v>97.703999999999994</v>
      </c>
      <c r="G640" s="8">
        <v>6.0960000000000001</v>
      </c>
      <c r="H640" s="8"/>
    </row>
    <row r="641" spans="1:8" x14ac:dyDescent="0.35">
      <c r="A641" s="8">
        <v>637</v>
      </c>
      <c r="B641" s="11" t="s">
        <v>11</v>
      </c>
      <c r="C641" s="8">
        <v>0.8</v>
      </c>
      <c r="D641" s="8">
        <v>0.7</v>
      </c>
      <c r="E641" s="8">
        <v>7.4809999999999999</v>
      </c>
      <c r="F641" s="8">
        <v>101.64400000000001</v>
      </c>
      <c r="G641" s="8">
        <v>6.1669999999999998</v>
      </c>
      <c r="H641" s="8"/>
    </row>
    <row r="642" spans="1:8" x14ac:dyDescent="0.35">
      <c r="A642" s="8">
        <v>638</v>
      </c>
      <c r="B642" s="11" t="s">
        <v>11</v>
      </c>
      <c r="C642" s="8">
        <v>0.8</v>
      </c>
      <c r="D642" s="8">
        <v>0.8</v>
      </c>
      <c r="E642" s="8">
        <v>7.67</v>
      </c>
      <c r="F642" s="8">
        <v>105.149</v>
      </c>
      <c r="G642" s="8">
        <v>6.3150000000000004</v>
      </c>
      <c r="H642" s="8"/>
    </row>
    <row r="643" spans="1:8" x14ac:dyDescent="0.35">
      <c r="A643" s="8">
        <v>639</v>
      </c>
      <c r="B643" s="11" t="s">
        <v>11</v>
      </c>
      <c r="C643" s="8">
        <v>0.8</v>
      </c>
      <c r="D643" s="8">
        <v>0.9</v>
      </c>
      <c r="E643" s="8">
        <v>7.8159999999999998</v>
      </c>
      <c r="F643" s="8">
        <v>108.301</v>
      </c>
      <c r="G643" s="8">
        <v>6.4340000000000002</v>
      </c>
      <c r="H643" s="8"/>
    </row>
    <row r="644" spans="1:8" x14ac:dyDescent="0.35">
      <c r="A644" s="29">
        <v>640</v>
      </c>
      <c r="B644" s="30" t="s">
        <v>11</v>
      </c>
      <c r="C644" s="29">
        <v>0.9</v>
      </c>
      <c r="D644" s="29">
        <v>0.1</v>
      </c>
      <c r="E644" s="29">
        <v>6.6740000000000004</v>
      </c>
      <c r="F644" s="29">
        <v>71.521000000000001</v>
      </c>
      <c r="G644" s="29">
        <v>5.508</v>
      </c>
      <c r="H644" s="29" t="s">
        <v>218</v>
      </c>
    </row>
    <row r="645" spans="1:8" x14ac:dyDescent="0.35">
      <c r="A645" s="8">
        <v>641</v>
      </c>
      <c r="B645" s="11" t="s">
        <v>11</v>
      </c>
      <c r="C645" s="8">
        <v>0.9</v>
      </c>
      <c r="D645" s="8">
        <v>0.2</v>
      </c>
      <c r="E645" s="8">
        <v>6.8810000000000002</v>
      </c>
      <c r="F645" s="8">
        <v>77.977999999999994</v>
      </c>
      <c r="G645" s="8">
        <v>5.69</v>
      </c>
      <c r="H645" s="8"/>
    </row>
    <row r="646" spans="1:8" x14ac:dyDescent="0.35">
      <c r="A646" s="8">
        <v>642</v>
      </c>
      <c r="B646" s="11" t="s">
        <v>11</v>
      </c>
      <c r="C646" s="8">
        <v>0.9</v>
      </c>
      <c r="D646" s="8">
        <v>0.3</v>
      </c>
      <c r="E646" s="8">
        <v>7.0389999999999997</v>
      </c>
      <c r="F646" s="8">
        <v>83.91</v>
      </c>
      <c r="G646" s="8">
        <v>5.8259999999999996</v>
      </c>
      <c r="H646" s="8"/>
    </row>
    <row r="647" spans="1:8" x14ac:dyDescent="0.35">
      <c r="A647" s="8">
        <v>643</v>
      </c>
      <c r="B647" s="11" t="s">
        <v>11</v>
      </c>
      <c r="C647" s="8">
        <v>0.9</v>
      </c>
      <c r="D647" s="8">
        <v>0.4</v>
      </c>
      <c r="E647" s="8">
        <v>7.2130000000000001</v>
      </c>
      <c r="F647" s="8">
        <v>89.299000000000007</v>
      </c>
      <c r="G647" s="8">
        <v>5.9649999999999999</v>
      </c>
      <c r="H647" s="8"/>
    </row>
    <row r="648" spans="1:8" x14ac:dyDescent="0.35">
      <c r="A648" s="8">
        <v>644</v>
      </c>
      <c r="B648" s="11" t="s">
        <v>11</v>
      </c>
      <c r="C648" s="8">
        <v>0.9</v>
      </c>
      <c r="D648" s="8">
        <v>0.5</v>
      </c>
      <c r="E648" s="8">
        <v>7.3419999999999996</v>
      </c>
      <c r="F648" s="8">
        <v>94.259</v>
      </c>
      <c r="G648" s="8">
        <v>6.0650000000000004</v>
      </c>
      <c r="H648" s="8"/>
    </row>
    <row r="649" spans="1:8" x14ac:dyDescent="0.35">
      <c r="A649" s="8">
        <v>645</v>
      </c>
      <c r="B649" s="11" t="s">
        <v>11</v>
      </c>
      <c r="C649" s="8">
        <v>0.9</v>
      </c>
      <c r="D649" s="8">
        <v>0.6</v>
      </c>
      <c r="E649" s="8">
        <v>7.5519999999999996</v>
      </c>
      <c r="F649" s="8">
        <v>98.927000000000007</v>
      </c>
      <c r="G649" s="8">
        <v>6.2329999999999997</v>
      </c>
      <c r="H649" s="8"/>
    </row>
    <row r="650" spans="1:8" x14ac:dyDescent="0.35">
      <c r="A650" s="8">
        <v>646</v>
      </c>
      <c r="B650" s="11" t="s">
        <v>11</v>
      </c>
      <c r="C650" s="8">
        <v>0.9</v>
      </c>
      <c r="D650" s="8">
        <v>0.7</v>
      </c>
      <c r="E650" s="8">
        <v>7.7770000000000001</v>
      </c>
      <c r="F650" s="8">
        <v>103.464</v>
      </c>
      <c r="G650" s="8">
        <v>6.4139999999999997</v>
      </c>
      <c r="H650" s="8"/>
    </row>
    <row r="651" spans="1:8" x14ac:dyDescent="0.35">
      <c r="A651" s="8">
        <v>647</v>
      </c>
      <c r="B651" s="11" t="s">
        <v>11</v>
      </c>
      <c r="C651" s="8">
        <v>0.9</v>
      </c>
      <c r="D651" s="8">
        <v>0.8</v>
      </c>
      <c r="E651" s="8">
        <v>7.98</v>
      </c>
      <c r="F651" s="8">
        <v>108.08499999999999</v>
      </c>
      <c r="G651" s="8">
        <v>6.5780000000000003</v>
      </c>
      <c r="H651" s="8"/>
    </row>
    <row r="652" spans="1:8" x14ac:dyDescent="0.35">
      <c r="A652" s="8">
        <v>648</v>
      </c>
      <c r="B652" s="11" t="s">
        <v>11</v>
      </c>
      <c r="C652" s="8">
        <v>0.9</v>
      </c>
      <c r="D652" s="8">
        <v>0.9</v>
      </c>
      <c r="E652" s="8">
        <v>8.2449999999999992</v>
      </c>
      <c r="F652" s="8">
        <v>113.08499999999999</v>
      </c>
      <c r="G652" s="8">
        <v>6.7990000000000004</v>
      </c>
      <c r="H652" s="8"/>
    </row>
    <row r="653" spans="1:8" x14ac:dyDescent="0.35">
      <c r="A653" s="8">
        <v>649</v>
      </c>
      <c r="B653" s="11" t="s">
        <v>10</v>
      </c>
      <c r="C653" s="8">
        <v>0.1</v>
      </c>
      <c r="D653" s="8">
        <v>0.1</v>
      </c>
      <c r="E653" s="8">
        <v>6.8449999999999998</v>
      </c>
      <c r="F653" s="8">
        <v>73.683999999999997</v>
      </c>
      <c r="G653" s="8">
        <v>6.085</v>
      </c>
      <c r="H653" s="8"/>
    </row>
    <row r="654" spans="1:8" x14ac:dyDescent="0.35">
      <c r="A654" s="8">
        <v>650</v>
      </c>
      <c r="B654" s="11" t="s">
        <v>10</v>
      </c>
      <c r="C654" s="8">
        <v>0.1</v>
      </c>
      <c r="D654" s="8">
        <v>0.2</v>
      </c>
      <c r="E654" s="8">
        <v>7.9770000000000003</v>
      </c>
      <c r="F654" s="8">
        <v>93.156000000000006</v>
      </c>
      <c r="G654" s="8">
        <v>7.0069999999999997</v>
      </c>
      <c r="H654" s="8"/>
    </row>
    <row r="655" spans="1:8" x14ac:dyDescent="0.35">
      <c r="A655" s="8">
        <v>651</v>
      </c>
      <c r="B655" s="11" t="s">
        <v>10</v>
      </c>
      <c r="C655" s="8">
        <v>0.1</v>
      </c>
      <c r="D655" s="8">
        <v>0.3</v>
      </c>
      <c r="E655" s="8">
        <v>7.3929999999999998</v>
      </c>
      <c r="F655" s="8">
        <v>98.605000000000004</v>
      </c>
      <c r="G655" s="8">
        <v>6.6710000000000003</v>
      </c>
      <c r="H655" s="8"/>
    </row>
    <row r="656" spans="1:8" x14ac:dyDescent="0.35">
      <c r="A656" s="8">
        <v>652</v>
      </c>
      <c r="B656" s="11" t="s">
        <v>10</v>
      </c>
      <c r="C656" s="8">
        <v>0.1</v>
      </c>
      <c r="D656" s="8">
        <v>0.4</v>
      </c>
      <c r="E656" s="8">
        <v>6.86</v>
      </c>
      <c r="F656" s="8">
        <v>89.450999999999993</v>
      </c>
      <c r="G656" s="8">
        <v>6.2</v>
      </c>
      <c r="H656" s="8"/>
    </row>
    <row r="657" spans="1:8" x14ac:dyDescent="0.35">
      <c r="A657" s="8">
        <v>653</v>
      </c>
      <c r="B657" s="11" t="s">
        <v>10</v>
      </c>
      <c r="C657" s="8">
        <v>0.1</v>
      </c>
      <c r="D657" s="8">
        <v>0.5</v>
      </c>
      <c r="E657" s="8">
        <v>8.9949999999999992</v>
      </c>
      <c r="F657" s="8">
        <v>114.833</v>
      </c>
      <c r="G657" s="8">
        <v>7.8869999999999996</v>
      </c>
      <c r="H657" s="8"/>
    </row>
    <row r="658" spans="1:8" x14ac:dyDescent="0.35">
      <c r="A658" s="8">
        <v>654</v>
      </c>
      <c r="B658" s="11" t="s">
        <v>10</v>
      </c>
      <c r="C658" s="8">
        <v>0.1</v>
      </c>
      <c r="D658" s="8">
        <v>0.6</v>
      </c>
      <c r="E658" s="8">
        <v>10.372</v>
      </c>
      <c r="F658" s="8">
        <v>172.77699999999999</v>
      </c>
      <c r="G658" s="8">
        <v>9.0050000000000008</v>
      </c>
      <c r="H658" s="8"/>
    </row>
    <row r="659" spans="1:8" x14ac:dyDescent="0.35">
      <c r="A659" s="8">
        <v>655</v>
      </c>
      <c r="B659" s="11" t="s">
        <v>10</v>
      </c>
      <c r="C659" s="8">
        <v>0.1</v>
      </c>
      <c r="D659" s="8">
        <v>0.7</v>
      </c>
      <c r="E659" s="8">
        <v>11.766</v>
      </c>
      <c r="F659" s="8">
        <v>203.70500000000001</v>
      </c>
      <c r="G659" s="8">
        <v>10.189</v>
      </c>
      <c r="H659" s="8"/>
    </row>
    <row r="660" spans="1:8" x14ac:dyDescent="0.35">
      <c r="A660" s="8">
        <v>656</v>
      </c>
      <c r="B660" s="11" t="s">
        <v>10</v>
      </c>
      <c r="C660" s="8">
        <v>0.1</v>
      </c>
      <c r="D660" s="8">
        <v>0.8</v>
      </c>
      <c r="E660" s="8">
        <v>12.193</v>
      </c>
      <c r="F660" s="8">
        <v>206.45400000000001</v>
      </c>
      <c r="G660" s="8">
        <v>10.57</v>
      </c>
      <c r="H660" s="8"/>
    </row>
    <row r="661" spans="1:8" x14ac:dyDescent="0.35">
      <c r="A661" s="8">
        <v>657</v>
      </c>
      <c r="B661" s="11" t="s">
        <v>10</v>
      </c>
      <c r="C661" s="8">
        <v>0.1</v>
      </c>
      <c r="D661" s="8">
        <v>0.9</v>
      </c>
      <c r="E661" s="8">
        <v>12.222</v>
      </c>
      <c r="F661" s="8">
        <v>192.148</v>
      </c>
      <c r="G661" s="8">
        <v>10.593999999999999</v>
      </c>
      <c r="H661" s="8"/>
    </row>
    <row r="662" spans="1:8" x14ac:dyDescent="0.35">
      <c r="A662" s="8">
        <v>658</v>
      </c>
      <c r="B662" s="11" t="s">
        <v>10</v>
      </c>
      <c r="C662" s="8">
        <v>0.2</v>
      </c>
      <c r="D662" s="8">
        <v>0.1</v>
      </c>
      <c r="E662" s="8">
        <v>6.952</v>
      </c>
      <c r="F662" s="8">
        <v>74.646000000000001</v>
      </c>
      <c r="G662" s="8">
        <v>6.19</v>
      </c>
      <c r="H662" s="8"/>
    </row>
    <row r="663" spans="1:8" x14ac:dyDescent="0.35">
      <c r="A663" s="8">
        <v>659</v>
      </c>
      <c r="B663" s="11" t="s">
        <v>10</v>
      </c>
      <c r="C663" s="8">
        <v>0.2</v>
      </c>
      <c r="D663" s="8">
        <v>0.2</v>
      </c>
      <c r="E663" s="8">
        <v>6.8250000000000002</v>
      </c>
      <c r="F663" s="8">
        <v>77.194000000000003</v>
      </c>
      <c r="G663" s="8">
        <v>6.109</v>
      </c>
      <c r="H663" s="8"/>
    </row>
    <row r="664" spans="1:8" x14ac:dyDescent="0.35">
      <c r="A664" s="8">
        <v>660</v>
      </c>
      <c r="B664" s="11" t="s">
        <v>10</v>
      </c>
      <c r="C664" s="8">
        <v>0.2</v>
      </c>
      <c r="D664" s="8">
        <v>0.3</v>
      </c>
      <c r="E664" s="8">
        <v>7.5890000000000004</v>
      </c>
      <c r="F664" s="8">
        <v>86.174000000000007</v>
      </c>
      <c r="G664" s="8">
        <v>6.7279999999999998</v>
      </c>
      <c r="H664" s="8"/>
    </row>
    <row r="665" spans="1:8" x14ac:dyDescent="0.35">
      <c r="A665" s="8">
        <v>661</v>
      </c>
      <c r="B665" s="11" t="s">
        <v>10</v>
      </c>
      <c r="C665" s="8">
        <v>0.2</v>
      </c>
      <c r="D665" s="8">
        <v>0.4</v>
      </c>
      <c r="E665" s="8">
        <v>8.6289999999999996</v>
      </c>
      <c r="F665" s="8">
        <v>99.757000000000005</v>
      </c>
      <c r="G665" s="8">
        <v>7.5830000000000002</v>
      </c>
      <c r="H665" s="8"/>
    </row>
    <row r="666" spans="1:8" x14ac:dyDescent="0.35">
      <c r="A666" s="8">
        <v>662</v>
      </c>
      <c r="B666" s="11" t="s">
        <v>10</v>
      </c>
      <c r="C666" s="8">
        <v>0.2</v>
      </c>
      <c r="D666" s="8">
        <v>0.5</v>
      </c>
      <c r="E666" s="8">
        <v>9.1189999999999998</v>
      </c>
      <c r="F666" s="8">
        <v>111.917</v>
      </c>
      <c r="G666" s="8">
        <v>7.984</v>
      </c>
      <c r="H666" s="8"/>
    </row>
    <row r="667" spans="1:8" x14ac:dyDescent="0.35">
      <c r="A667" s="8">
        <v>663</v>
      </c>
      <c r="B667" s="11" t="s">
        <v>10</v>
      </c>
      <c r="C667" s="8">
        <v>0.2</v>
      </c>
      <c r="D667" s="8">
        <v>0.6</v>
      </c>
      <c r="E667" s="8">
        <v>9.5329999999999995</v>
      </c>
      <c r="F667" s="8">
        <v>124.687</v>
      </c>
      <c r="G667" s="8">
        <v>8.3170000000000002</v>
      </c>
      <c r="H667" s="8"/>
    </row>
    <row r="668" spans="1:8" x14ac:dyDescent="0.35">
      <c r="A668" s="8">
        <v>664</v>
      </c>
      <c r="B668" s="11" t="s">
        <v>10</v>
      </c>
      <c r="C668" s="8">
        <v>0.2</v>
      </c>
      <c r="D668" s="8">
        <v>0.7</v>
      </c>
      <c r="E668" s="8">
        <v>10.105</v>
      </c>
      <c r="F668" s="8">
        <v>142.68</v>
      </c>
      <c r="G668" s="8">
        <v>8.7850000000000001</v>
      </c>
      <c r="H668" s="8"/>
    </row>
    <row r="669" spans="1:8" x14ac:dyDescent="0.35">
      <c r="A669" s="8">
        <v>665</v>
      </c>
      <c r="B669" s="11" t="s">
        <v>10</v>
      </c>
      <c r="C669" s="8">
        <v>0.2</v>
      </c>
      <c r="D669" s="8">
        <v>0.8</v>
      </c>
      <c r="E669" s="8">
        <v>10.871</v>
      </c>
      <c r="F669" s="8">
        <v>167.38</v>
      </c>
      <c r="G669" s="8">
        <v>9.4209999999999994</v>
      </c>
      <c r="H669" s="8"/>
    </row>
    <row r="670" spans="1:8" x14ac:dyDescent="0.35">
      <c r="A670" s="8">
        <v>666</v>
      </c>
      <c r="B670" s="11" t="s">
        <v>10</v>
      </c>
      <c r="C670" s="8">
        <v>0.2</v>
      </c>
      <c r="D670" s="8">
        <v>0.9</v>
      </c>
      <c r="E670" s="8">
        <v>11.569000000000001</v>
      </c>
      <c r="F670" s="8">
        <v>193.715</v>
      </c>
      <c r="G670" s="8">
        <v>10.002000000000001</v>
      </c>
      <c r="H670" s="8"/>
    </row>
    <row r="671" spans="1:8" x14ac:dyDescent="0.35">
      <c r="A671" s="8">
        <v>667</v>
      </c>
      <c r="B671" s="11" t="s">
        <v>10</v>
      </c>
      <c r="C671" s="8">
        <v>0.3</v>
      </c>
      <c r="D671" s="8">
        <v>0.1</v>
      </c>
      <c r="E671" s="8">
        <v>6.7969999999999997</v>
      </c>
      <c r="F671" s="8">
        <v>73.227999999999994</v>
      </c>
      <c r="G671" s="8">
        <v>6.056</v>
      </c>
      <c r="H671" s="8"/>
    </row>
    <row r="672" spans="1:8" x14ac:dyDescent="0.35">
      <c r="A672" s="8">
        <v>668</v>
      </c>
      <c r="B672" s="11" t="s">
        <v>10</v>
      </c>
      <c r="C672" s="8">
        <v>0.3</v>
      </c>
      <c r="D672" s="8">
        <v>0.2</v>
      </c>
      <c r="E672" s="8">
        <v>7.1130000000000004</v>
      </c>
      <c r="F672" s="8">
        <v>79.099000000000004</v>
      </c>
      <c r="G672" s="8">
        <v>6.319</v>
      </c>
      <c r="H672" s="8"/>
    </row>
    <row r="673" spans="1:8" x14ac:dyDescent="0.35">
      <c r="A673" s="8">
        <v>669</v>
      </c>
      <c r="B673" s="11" t="s">
        <v>10</v>
      </c>
      <c r="C673" s="8">
        <v>0.3</v>
      </c>
      <c r="D673" s="8">
        <v>0.3</v>
      </c>
      <c r="E673" s="8">
        <v>7.65</v>
      </c>
      <c r="F673" s="8">
        <v>88.911000000000001</v>
      </c>
      <c r="G673" s="8">
        <v>6.7569999999999997</v>
      </c>
      <c r="H673" s="8"/>
    </row>
    <row r="674" spans="1:8" x14ac:dyDescent="0.35">
      <c r="A674" s="8">
        <v>670</v>
      </c>
      <c r="B674" s="11" t="s">
        <v>10</v>
      </c>
      <c r="C674" s="8">
        <v>0.3</v>
      </c>
      <c r="D674" s="8">
        <v>0.4</v>
      </c>
      <c r="E674" s="8">
        <v>7.9809999999999999</v>
      </c>
      <c r="F674" s="8">
        <v>101.166</v>
      </c>
      <c r="G674" s="8">
        <v>7.024</v>
      </c>
      <c r="H674" s="8"/>
    </row>
    <row r="675" spans="1:8" x14ac:dyDescent="0.35">
      <c r="A675" s="8">
        <v>671</v>
      </c>
      <c r="B675" s="11" t="s">
        <v>10</v>
      </c>
      <c r="C675" s="8">
        <v>0.3</v>
      </c>
      <c r="D675" s="8">
        <v>0.5</v>
      </c>
      <c r="E675" s="8">
        <v>8.5489999999999995</v>
      </c>
      <c r="F675" s="8">
        <v>115.006</v>
      </c>
      <c r="G675" s="8">
        <v>7.4989999999999997</v>
      </c>
      <c r="H675" s="8"/>
    </row>
    <row r="676" spans="1:8" x14ac:dyDescent="0.35">
      <c r="A676" s="8">
        <v>672</v>
      </c>
      <c r="B676" s="11" t="s">
        <v>10</v>
      </c>
      <c r="C676" s="8">
        <v>0.3</v>
      </c>
      <c r="D676" s="8">
        <v>0.6</v>
      </c>
      <c r="E676" s="8">
        <v>9.1349999999999998</v>
      </c>
      <c r="F676" s="8">
        <v>128.642</v>
      </c>
      <c r="G676" s="8">
        <v>8.0050000000000008</v>
      </c>
      <c r="H676" s="8"/>
    </row>
    <row r="677" spans="1:8" x14ac:dyDescent="0.35">
      <c r="A677" s="8">
        <v>673</v>
      </c>
      <c r="B677" s="11" t="s">
        <v>10</v>
      </c>
      <c r="C677" s="8">
        <v>0.3</v>
      </c>
      <c r="D677" s="8">
        <v>0.7</v>
      </c>
      <c r="E677" s="8">
        <v>9.5399999999999991</v>
      </c>
      <c r="F677" s="8">
        <v>138.69499999999999</v>
      </c>
      <c r="G677" s="8">
        <v>8.36</v>
      </c>
      <c r="H677" s="8"/>
    </row>
    <row r="678" spans="1:8" x14ac:dyDescent="0.35">
      <c r="A678" s="8">
        <v>674</v>
      </c>
      <c r="B678" s="11" t="s">
        <v>10</v>
      </c>
      <c r="C678" s="8">
        <v>0.3</v>
      </c>
      <c r="D678" s="8">
        <v>0.8</v>
      </c>
      <c r="E678" s="8">
        <v>9.5690000000000008</v>
      </c>
      <c r="F678" s="8">
        <v>143.40600000000001</v>
      </c>
      <c r="G678" s="8">
        <v>8.4060000000000006</v>
      </c>
      <c r="H678" s="8"/>
    </row>
    <row r="679" spans="1:8" x14ac:dyDescent="0.35">
      <c r="A679" s="8">
        <v>675</v>
      </c>
      <c r="B679" s="11" t="s">
        <v>10</v>
      </c>
      <c r="C679" s="8">
        <v>0.3</v>
      </c>
      <c r="D679" s="8">
        <v>0.9</v>
      </c>
      <c r="E679" s="8">
        <v>9.2889999999999997</v>
      </c>
      <c r="F679" s="8">
        <v>144.345</v>
      </c>
      <c r="G679" s="8">
        <v>8.1880000000000006</v>
      </c>
      <c r="H679" s="8"/>
    </row>
    <row r="680" spans="1:8" x14ac:dyDescent="0.35">
      <c r="A680" s="8">
        <v>676</v>
      </c>
      <c r="B680" s="11" t="s">
        <v>10</v>
      </c>
      <c r="C680" s="8">
        <v>0.4</v>
      </c>
      <c r="D680" s="8">
        <v>0.1</v>
      </c>
      <c r="E680" s="8">
        <v>6.5880000000000001</v>
      </c>
      <c r="F680" s="8">
        <v>70.304000000000002</v>
      </c>
      <c r="G680" s="8">
        <v>5.8639999999999999</v>
      </c>
      <c r="H680" s="8"/>
    </row>
    <row r="681" spans="1:8" x14ac:dyDescent="0.35">
      <c r="A681" s="8">
        <v>677</v>
      </c>
      <c r="B681" s="11" t="s">
        <v>10</v>
      </c>
      <c r="C681" s="8">
        <v>0.4</v>
      </c>
      <c r="D681" s="8">
        <v>0.2</v>
      </c>
      <c r="E681" s="8">
        <v>6.85</v>
      </c>
      <c r="F681" s="8">
        <v>76.811000000000007</v>
      </c>
      <c r="G681" s="8">
        <v>6.0780000000000003</v>
      </c>
      <c r="H681" s="8"/>
    </row>
    <row r="682" spans="1:8" x14ac:dyDescent="0.35">
      <c r="A682" s="8">
        <v>678</v>
      </c>
      <c r="B682" s="11" t="s">
        <v>10</v>
      </c>
      <c r="C682" s="8">
        <v>0.4</v>
      </c>
      <c r="D682" s="8">
        <v>0.3</v>
      </c>
      <c r="E682" s="8">
        <v>7.2839999999999998</v>
      </c>
      <c r="F682" s="8">
        <v>85.817999999999998</v>
      </c>
      <c r="G682" s="8">
        <v>6.4379999999999997</v>
      </c>
      <c r="H682" s="8"/>
    </row>
    <row r="683" spans="1:8" x14ac:dyDescent="0.35">
      <c r="A683" s="8">
        <v>679</v>
      </c>
      <c r="B683" s="11" t="s">
        <v>10</v>
      </c>
      <c r="C683" s="8">
        <v>0.4</v>
      </c>
      <c r="D683" s="8">
        <v>0.4</v>
      </c>
      <c r="E683" s="8">
        <v>7.7649999999999997</v>
      </c>
      <c r="F683" s="8">
        <v>95.637</v>
      </c>
      <c r="G683" s="8">
        <v>6.8529999999999998</v>
      </c>
      <c r="H683" s="8"/>
    </row>
    <row r="684" spans="1:8" x14ac:dyDescent="0.35">
      <c r="A684" s="8">
        <v>680</v>
      </c>
      <c r="B684" s="11" t="s">
        <v>10</v>
      </c>
      <c r="C684" s="8">
        <v>0.4</v>
      </c>
      <c r="D684" s="8">
        <v>0.5</v>
      </c>
      <c r="E684" s="8">
        <v>8.1780000000000008</v>
      </c>
      <c r="F684" s="8">
        <v>104.062</v>
      </c>
      <c r="G684" s="8">
        <v>7.2060000000000004</v>
      </c>
      <c r="H684" s="8"/>
    </row>
    <row r="685" spans="1:8" x14ac:dyDescent="0.35">
      <c r="A685" s="8">
        <v>681</v>
      </c>
      <c r="B685" s="11" t="s">
        <v>10</v>
      </c>
      <c r="C685" s="8">
        <v>0.4</v>
      </c>
      <c r="D685" s="8">
        <v>0.6</v>
      </c>
      <c r="E685" s="8">
        <v>8.2919999999999998</v>
      </c>
      <c r="F685" s="8">
        <v>109.384</v>
      </c>
      <c r="G685" s="8">
        <v>7.31</v>
      </c>
      <c r="H685" s="8"/>
    </row>
    <row r="686" spans="1:8" x14ac:dyDescent="0.35">
      <c r="A686" s="8">
        <v>682</v>
      </c>
      <c r="B686" s="11" t="s">
        <v>10</v>
      </c>
      <c r="C686" s="8">
        <v>0.4</v>
      </c>
      <c r="D686" s="8">
        <v>0.7</v>
      </c>
      <c r="E686" s="8">
        <v>8.2279999999999998</v>
      </c>
      <c r="F686" s="8">
        <v>111.43600000000001</v>
      </c>
      <c r="G686" s="8">
        <v>7.2670000000000003</v>
      </c>
      <c r="H686" s="8"/>
    </row>
    <row r="687" spans="1:8" x14ac:dyDescent="0.35">
      <c r="A687" s="8">
        <v>683</v>
      </c>
      <c r="B687" s="11" t="s">
        <v>10</v>
      </c>
      <c r="C687" s="8">
        <v>0.4</v>
      </c>
      <c r="D687" s="8">
        <v>0.8</v>
      </c>
      <c r="E687" s="8">
        <v>8.1110000000000007</v>
      </c>
      <c r="F687" s="8">
        <v>110.964</v>
      </c>
      <c r="G687" s="8">
        <v>7.18</v>
      </c>
      <c r="H687" s="8"/>
    </row>
    <row r="688" spans="1:8" x14ac:dyDescent="0.35">
      <c r="A688" s="8">
        <v>684</v>
      </c>
      <c r="B688" s="11" t="s">
        <v>10</v>
      </c>
      <c r="C688" s="8">
        <v>0.4</v>
      </c>
      <c r="D688" s="8">
        <v>0.9</v>
      </c>
      <c r="E688" s="8">
        <v>7.9560000000000004</v>
      </c>
      <c r="F688" s="8">
        <v>108.55200000000001</v>
      </c>
      <c r="G688" s="8">
        <v>7.05</v>
      </c>
      <c r="H688" s="8"/>
    </row>
    <row r="689" spans="1:8" x14ac:dyDescent="0.35">
      <c r="A689" s="8">
        <v>685</v>
      </c>
      <c r="B689" s="11" t="s">
        <v>10</v>
      </c>
      <c r="C689" s="8">
        <v>0.5</v>
      </c>
      <c r="D689" s="8">
        <v>0.1</v>
      </c>
      <c r="E689" s="8">
        <v>6.2709999999999999</v>
      </c>
      <c r="F689" s="8">
        <v>65.840999999999994</v>
      </c>
      <c r="G689" s="8">
        <v>5.5810000000000004</v>
      </c>
      <c r="H689" s="8"/>
    </row>
    <row r="690" spans="1:8" x14ac:dyDescent="0.35">
      <c r="A690" s="8">
        <v>686</v>
      </c>
      <c r="B690" s="11" t="s">
        <v>10</v>
      </c>
      <c r="C690" s="8">
        <v>0.5</v>
      </c>
      <c r="D690" s="8">
        <v>0.2</v>
      </c>
      <c r="E690" s="8">
        <v>6.5730000000000004</v>
      </c>
      <c r="F690" s="8">
        <v>71.581000000000003</v>
      </c>
      <c r="G690" s="8">
        <v>5.8339999999999996</v>
      </c>
      <c r="H690" s="8"/>
    </row>
    <row r="691" spans="1:8" x14ac:dyDescent="0.35">
      <c r="A691" s="8">
        <v>687</v>
      </c>
      <c r="B691" s="11" t="s">
        <v>10</v>
      </c>
      <c r="C691" s="8">
        <v>0.5</v>
      </c>
      <c r="D691" s="8">
        <v>0.3</v>
      </c>
      <c r="E691" s="8">
        <v>6.952</v>
      </c>
      <c r="F691" s="8">
        <v>78.337000000000003</v>
      </c>
      <c r="G691" s="8">
        <v>6.157</v>
      </c>
      <c r="H691" s="8"/>
    </row>
    <row r="692" spans="1:8" x14ac:dyDescent="0.35">
      <c r="A692" s="8">
        <v>688</v>
      </c>
      <c r="B692" s="11" t="s">
        <v>10</v>
      </c>
      <c r="C692" s="8">
        <v>0.5</v>
      </c>
      <c r="D692" s="8">
        <v>0.4</v>
      </c>
      <c r="E692" s="8">
        <v>7.2569999999999997</v>
      </c>
      <c r="F692" s="8">
        <v>84.18</v>
      </c>
      <c r="G692" s="8">
        <v>6.4139999999999997</v>
      </c>
      <c r="H692" s="8"/>
    </row>
    <row r="693" spans="1:8" x14ac:dyDescent="0.35">
      <c r="A693" s="8">
        <v>689</v>
      </c>
      <c r="B693" s="11" t="s">
        <v>10</v>
      </c>
      <c r="C693" s="8">
        <v>0.5</v>
      </c>
      <c r="D693" s="8">
        <v>0.5</v>
      </c>
      <c r="E693" s="8">
        <v>7.3659999999999997</v>
      </c>
      <c r="F693" s="8">
        <v>87.56</v>
      </c>
      <c r="G693" s="8">
        <v>6.5090000000000003</v>
      </c>
      <c r="H693" s="8"/>
    </row>
    <row r="694" spans="1:8" x14ac:dyDescent="0.35">
      <c r="A694" s="8">
        <v>690</v>
      </c>
      <c r="B694" s="11" t="s">
        <v>10</v>
      </c>
      <c r="C694" s="8">
        <v>0.5</v>
      </c>
      <c r="D694" s="8">
        <v>0.6</v>
      </c>
      <c r="E694" s="8">
        <v>7.3339999999999996</v>
      </c>
      <c r="F694" s="8">
        <v>88.117000000000004</v>
      </c>
      <c r="G694" s="8">
        <v>6.49</v>
      </c>
      <c r="H694" s="8"/>
    </row>
    <row r="695" spans="1:8" x14ac:dyDescent="0.35">
      <c r="A695" s="8">
        <v>691</v>
      </c>
      <c r="B695" s="11" t="s">
        <v>10</v>
      </c>
      <c r="C695" s="8">
        <v>0.5</v>
      </c>
      <c r="D695" s="8">
        <v>0.7</v>
      </c>
      <c r="E695" s="8">
        <v>7.1669999999999998</v>
      </c>
      <c r="F695" s="8">
        <v>86.332999999999998</v>
      </c>
      <c r="G695" s="8">
        <v>6.3490000000000002</v>
      </c>
      <c r="H695" s="8"/>
    </row>
    <row r="696" spans="1:8" x14ac:dyDescent="0.35">
      <c r="A696" s="8">
        <v>692</v>
      </c>
      <c r="B696" s="11" t="s">
        <v>10</v>
      </c>
      <c r="C696" s="8">
        <v>0.5</v>
      </c>
      <c r="D696" s="8">
        <v>0.8</v>
      </c>
      <c r="E696" s="8">
        <v>7.0430000000000001</v>
      </c>
      <c r="F696" s="8">
        <v>82.924999999999997</v>
      </c>
      <c r="G696" s="8">
        <v>6.2309999999999999</v>
      </c>
      <c r="H696" s="8"/>
    </row>
    <row r="697" spans="1:8" x14ac:dyDescent="0.35">
      <c r="A697" s="8">
        <v>693</v>
      </c>
      <c r="B697" s="11" t="s">
        <v>10</v>
      </c>
      <c r="C697" s="8">
        <v>0.5</v>
      </c>
      <c r="D697" s="8">
        <v>0.9</v>
      </c>
      <c r="E697" s="8">
        <v>6.8840000000000003</v>
      </c>
      <c r="F697" s="8">
        <v>78.593999999999994</v>
      </c>
      <c r="G697" s="8">
        <v>6.0750000000000002</v>
      </c>
      <c r="H697" s="8"/>
    </row>
    <row r="698" spans="1:8" x14ac:dyDescent="0.35">
      <c r="A698" s="8">
        <v>694</v>
      </c>
      <c r="B698" s="11" t="s">
        <v>10</v>
      </c>
      <c r="C698" s="8">
        <v>0.6</v>
      </c>
      <c r="D698" s="8">
        <v>0.1</v>
      </c>
      <c r="E698" s="8">
        <v>5.9690000000000003</v>
      </c>
      <c r="F698" s="8">
        <v>60.548999999999999</v>
      </c>
      <c r="G698" s="8">
        <v>5.3150000000000004</v>
      </c>
      <c r="H698" s="8"/>
    </row>
    <row r="699" spans="1:8" x14ac:dyDescent="0.35">
      <c r="A699" s="8">
        <v>695</v>
      </c>
      <c r="B699" s="11" t="s">
        <v>10</v>
      </c>
      <c r="C699" s="8">
        <v>0.6</v>
      </c>
      <c r="D699" s="8">
        <v>0.2</v>
      </c>
      <c r="E699" s="8">
        <v>6.25</v>
      </c>
      <c r="F699" s="8">
        <v>64.861999999999995</v>
      </c>
      <c r="G699" s="8">
        <v>5.55</v>
      </c>
      <c r="H699" s="8"/>
    </row>
    <row r="700" spans="1:8" x14ac:dyDescent="0.35">
      <c r="A700" s="8">
        <v>696</v>
      </c>
      <c r="B700" s="11" t="s">
        <v>10</v>
      </c>
      <c r="C700" s="8">
        <v>0.6</v>
      </c>
      <c r="D700" s="8">
        <v>0.3</v>
      </c>
      <c r="E700" s="8">
        <v>6.4710000000000001</v>
      </c>
      <c r="F700" s="8">
        <v>69.057000000000002</v>
      </c>
      <c r="G700" s="8">
        <v>5.734</v>
      </c>
      <c r="H700" s="8"/>
    </row>
    <row r="701" spans="1:8" x14ac:dyDescent="0.35">
      <c r="A701" s="8">
        <v>697</v>
      </c>
      <c r="B701" s="11" t="s">
        <v>10</v>
      </c>
      <c r="C701" s="8">
        <v>0.6</v>
      </c>
      <c r="D701" s="8">
        <v>0.4</v>
      </c>
      <c r="E701" s="8">
        <v>6.6710000000000003</v>
      </c>
      <c r="F701" s="8">
        <v>71.593000000000004</v>
      </c>
      <c r="G701" s="8">
        <v>5.9050000000000002</v>
      </c>
      <c r="H701" s="8"/>
    </row>
    <row r="702" spans="1:8" x14ac:dyDescent="0.35">
      <c r="A702" s="8">
        <v>698</v>
      </c>
      <c r="B702" s="11" t="s">
        <v>10</v>
      </c>
      <c r="C702" s="8">
        <v>0.6</v>
      </c>
      <c r="D702" s="8">
        <v>0.5</v>
      </c>
      <c r="E702" s="8">
        <v>6.6470000000000002</v>
      </c>
      <c r="F702" s="8">
        <v>71.790000000000006</v>
      </c>
      <c r="G702" s="8">
        <v>5.8869999999999996</v>
      </c>
      <c r="H702" s="8"/>
    </row>
    <row r="703" spans="1:8" x14ac:dyDescent="0.35">
      <c r="A703" s="8">
        <v>699</v>
      </c>
      <c r="B703" s="11" t="s">
        <v>10</v>
      </c>
      <c r="C703" s="8">
        <v>0.6</v>
      </c>
      <c r="D703" s="8">
        <v>0.6</v>
      </c>
      <c r="E703" s="8">
        <v>6.5220000000000002</v>
      </c>
      <c r="F703" s="8">
        <v>69.938999999999993</v>
      </c>
      <c r="G703" s="8">
        <v>5.7750000000000004</v>
      </c>
      <c r="H703" s="8"/>
    </row>
    <row r="704" spans="1:8" x14ac:dyDescent="0.35">
      <c r="A704" s="8">
        <v>700</v>
      </c>
      <c r="B704" s="11" t="s">
        <v>10</v>
      </c>
      <c r="C704" s="8">
        <v>0.6</v>
      </c>
      <c r="D704" s="8">
        <v>0.7</v>
      </c>
      <c r="E704" s="8">
        <v>6.4219999999999997</v>
      </c>
      <c r="F704" s="8">
        <v>66.745999999999995</v>
      </c>
      <c r="G704" s="8">
        <v>5.6719999999999997</v>
      </c>
      <c r="H704" s="8"/>
    </row>
    <row r="705" spans="1:8" x14ac:dyDescent="0.35">
      <c r="A705" s="8">
        <v>701</v>
      </c>
      <c r="B705" s="11" t="s">
        <v>10</v>
      </c>
      <c r="C705" s="8">
        <v>0.6</v>
      </c>
      <c r="D705" s="8">
        <v>0.8</v>
      </c>
      <c r="E705" s="8">
        <v>6.2949999999999999</v>
      </c>
      <c r="F705" s="8">
        <v>62.911999999999999</v>
      </c>
      <c r="G705" s="8">
        <v>5.5430000000000001</v>
      </c>
      <c r="H705" s="8"/>
    </row>
    <row r="706" spans="1:8" x14ac:dyDescent="0.35">
      <c r="A706" s="8">
        <v>702</v>
      </c>
      <c r="B706" s="11" t="s">
        <v>10</v>
      </c>
      <c r="C706" s="8">
        <v>0.6</v>
      </c>
      <c r="D706" s="8">
        <v>0.9</v>
      </c>
      <c r="E706" s="8">
        <v>6.11</v>
      </c>
      <c r="F706" s="8">
        <v>58.965000000000003</v>
      </c>
      <c r="G706" s="8">
        <v>5.3650000000000002</v>
      </c>
      <c r="H706" s="8"/>
    </row>
    <row r="707" spans="1:8" x14ac:dyDescent="0.35">
      <c r="A707" s="8">
        <v>703</v>
      </c>
      <c r="B707" s="11" t="s">
        <v>10</v>
      </c>
      <c r="C707" s="8">
        <v>0.7</v>
      </c>
      <c r="D707" s="8">
        <v>0.1</v>
      </c>
      <c r="E707" s="8">
        <v>5.6769999999999996</v>
      </c>
      <c r="F707" s="8">
        <v>55.177</v>
      </c>
      <c r="G707" s="8">
        <v>5.0540000000000003</v>
      </c>
      <c r="H707" s="8"/>
    </row>
    <row r="708" spans="1:8" x14ac:dyDescent="0.35">
      <c r="A708" s="8">
        <v>704</v>
      </c>
      <c r="B708" s="11" t="s">
        <v>10</v>
      </c>
      <c r="C708" s="8">
        <v>0.7</v>
      </c>
      <c r="D708" s="8">
        <v>0.2</v>
      </c>
      <c r="E708" s="8">
        <v>5.8810000000000002</v>
      </c>
      <c r="F708" s="8">
        <v>58.030999999999999</v>
      </c>
      <c r="G708" s="8">
        <v>5.2210000000000001</v>
      </c>
      <c r="H708" s="8"/>
    </row>
    <row r="709" spans="1:8" x14ac:dyDescent="0.35">
      <c r="A709" s="8">
        <v>705</v>
      </c>
      <c r="B709" s="11" t="s">
        <v>10</v>
      </c>
      <c r="C709" s="8">
        <v>0.7</v>
      </c>
      <c r="D709" s="8">
        <v>0.3</v>
      </c>
      <c r="E709" s="8">
        <v>6.0949999999999998</v>
      </c>
      <c r="F709" s="8">
        <v>60.171999999999997</v>
      </c>
      <c r="G709" s="8">
        <v>5.4039999999999999</v>
      </c>
      <c r="H709" s="8"/>
    </row>
    <row r="710" spans="1:8" x14ac:dyDescent="0.35">
      <c r="A710" s="8">
        <v>706</v>
      </c>
      <c r="B710" s="11" t="s">
        <v>10</v>
      </c>
      <c r="C710" s="8">
        <v>0.7</v>
      </c>
      <c r="D710" s="8">
        <v>0.4</v>
      </c>
      <c r="E710" s="8">
        <v>6.1319999999999997</v>
      </c>
      <c r="F710" s="8">
        <v>60.625999999999998</v>
      </c>
      <c r="G710" s="8">
        <v>5.4349999999999996</v>
      </c>
      <c r="H710" s="8"/>
    </row>
    <row r="711" spans="1:8" x14ac:dyDescent="0.35">
      <c r="A711" s="8">
        <v>707</v>
      </c>
      <c r="B711" s="11" t="s">
        <v>10</v>
      </c>
      <c r="C711" s="8">
        <v>0.7</v>
      </c>
      <c r="D711" s="8">
        <v>0.5</v>
      </c>
      <c r="E711" s="8">
        <v>6.0609999999999999</v>
      </c>
      <c r="F711" s="8">
        <v>59.311</v>
      </c>
      <c r="G711" s="8">
        <v>5.3659999999999997</v>
      </c>
      <c r="H711" s="8"/>
    </row>
    <row r="712" spans="1:8" x14ac:dyDescent="0.35">
      <c r="A712" s="8">
        <v>708</v>
      </c>
      <c r="B712" s="11" t="s">
        <v>10</v>
      </c>
      <c r="C712" s="8">
        <v>0.7</v>
      </c>
      <c r="D712" s="8">
        <v>0.6</v>
      </c>
      <c r="E712" s="8">
        <v>6.0359999999999996</v>
      </c>
      <c r="F712" s="8">
        <v>56.780999999999999</v>
      </c>
      <c r="G712" s="8">
        <v>5.327</v>
      </c>
      <c r="H712" s="8"/>
    </row>
    <row r="713" spans="1:8" x14ac:dyDescent="0.35">
      <c r="A713" s="8">
        <v>709</v>
      </c>
      <c r="B713" s="11" t="s">
        <v>10</v>
      </c>
      <c r="C713" s="8">
        <v>0.7</v>
      </c>
      <c r="D713" s="8">
        <v>0.7</v>
      </c>
      <c r="E713" s="8">
        <v>5.92</v>
      </c>
      <c r="F713" s="8">
        <v>53.707000000000001</v>
      </c>
      <c r="G713" s="8">
        <v>5.21</v>
      </c>
      <c r="H713" s="8"/>
    </row>
    <row r="714" spans="1:8" x14ac:dyDescent="0.35">
      <c r="A714" s="8">
        <v>710</v>
      </c>
      <c r="B714" s="11" t="s">
        <v>10</v>
      </c>
      <c r="C714" s="8">
        <v>0.7</v>
      </c>
      <c r="D714" s="8">
        <v>0.8</v>
      </c>
      <c r="E714" s="8">
        <v>5.7610000000000001</v>
      </c>
      <c r="F714" s="8">
        <v>50.612000000000002</v>
      </c>
      <c r="G714" s="8">
        <v>5.056</v>
      </c>
      <c r="H714" s="8"/>
    </row>
    <row r="715" spans="1:8" x14ac:dyDescent="0.35">
      <c r="A715" s="8">
        <v>711</v>
      </c>
      <c r="B715" s="11" t="s">
        <v>10</v>
      </c>
      <c r="C715" s="8">
        <v>0.7</v>
      </c>
      <c r="D715" s="8">
        <v>0.9</v>
      </c>
      <c r="E715" s="8">
        <v>5.585</v>
      </c>
      <c r="F715" s="8">
        <v>47.823</v>
      </c>
      <c r="G715" s="8">
        <v>4.8890000000000002</v>
      </c>
      <c r="H715" s="8"/>
    </row>
    <row r="716" spans="1:8" x14ac:dyDescent="0.35">
      <c r="A716" s="8">
        <v>712</v>
      </c>
      <c r="B716" s="11" t="s">
        <v>10</v>
      </c>
      <c r="C716" s="8">
        <v>0.8</v>
      </c>
      <c r="D716" s="8">
        <v>0.1</v>
      </c>
      <c r="E716" s="8">
        <v>5.3920000000000003</v>
      </c>
      <c r="F716" s="8">
        <v>50.293999999999997</v>
      </c>
      <c r="G716" s="8">
        <v>4.7990000000000004</v>
      </c>
      <c r="H716" s="8"/>
    </row>
    <row r="717" spans="1:8" x14ac:dyDescent="0.35">
      <c r="A717" s="8">
        <v>713</v>
      </c>
      <c r="B717" s="11" t="s">
        <v>10</v>
      </c>
      <c r="C717" s="8">
        <v>0.8</v>
      </c>
      <c r="D717" s="8">
        <v>0.2</v>
      </c>
      <c r="E717" s="8">
        <v>5.6470000000000002</v>
      </c>
      <c r="F717" s="8">
        <v>52</v>
      </c>
      <c r="G717" s="8">
        <v>5.0129999999999999</v>
      </c>
      <c r="H717" s="8"/>
    </row>
    <row r="718" spans="1:8" x14ac:dyDescent="0.35">
      <c r="A718" s="8">
        <v>714</v>
      </c>
      <c r="B718" s="11" t="s">
        <v>10</v>
      </c>
      <c r="C718" s="8">
        <v>0.8</v>
      </c>
      <c r="D718" s="8">
        <v>0.3</v>
      </c>
      <c r="E718" s="8">
        <v>5.7359999999999998</v>
      </c>
      <c r="F718" s="8">
        <v>52.83</v>
      </c>
      <c r="G718" s="8">
        <v>5.0880000000000001</v>
      </c>
      <c r="H718" s="8"/>
    </row>
    <row r="719" spans="1:8" x14ac:dyDescent="0.35">
      <c r="A719" s="8">
        <v>715</v>
      </c>
      <c r="B719" s="11" t="s">
        <v>10</v>
      </c>
      <c r="C719" s="8">
        <v>0.8</v>
      </c>
      <c r="D719" s="8">
        <v>0.4</v>
      </c>
      <c r="E719" s="8">
        <v>5.7629999999999999</v>
      </c>
      <c r="F719" s="8">
        <v>52.283000000000001</v>
      </c>
      <c r="G719" s="8">
        <v>5.1029999999999998</v>
      </c>
      <c r="H719" s="8"/>
    </row>
    <row r="720" spans="1:8" x14ac:dyDescent="0.35">
      <c r="A720" s="8">
        <v>716</v>
      </c>
      <c r="B720" s="11" t="s">
        <v>10</v>
      </c>
      <c r="C720" s="8">
        <v>0.8</v>
      </c>
      <c r="D720" s="8">
        <v>0.5</v>
      </c>
      <c r="E720" s="8">
        <v>5.7590000000000003</v>
      </c>
      <c r="F720" s="8">
        <v>50.595999999999997</v>
      </c>
      <c r="G720" s="8">
        <v>5.085</v>
      </c>
      <c r="H720" s="8"/>
    </row>
    <row r="721" spans="1:8" x14ac:dyDescent="0.35">
      <c r="A721" s="8">
        <v>717</v>
      </c>
      <c r="B721" s="11" t="s">
        <v>10</v>
      </c>
      <c r="C721" s="8">
        <v>0.8</v>
      </c>
      <c r="D721" s="8">
        <v>0.6</v>
      </c>
      <c r="E721" s="8">
        <v>5.6989999999999998</v>
      </c>
      <c r="F721" s="8">
        <v>48.347999999999999</v>
      </c>
      <c r="G721" s="8">
        <v>5.016</v>
      </c>
      <c r="H721" s="8"/>
    </row>
    <row r="722" spans="1:8" x14ac:dyDescent="0.35">
      <c r="A722" s="8">
        <v>718</v>
      </c>
      <c r="B722" s="11" t="s">
        <v>10</v>
      </c>
      <c r="C722" s="8">
        <v>0.8</v>
      </c>
      <c r="D722" s="8">
        <v>0.7</v>
      </c>
      <c r="E722" s="8">
        <v>5.58</v>
      </c>
      <c r="F722" s="8">
        <v>46.070999999999998</v>
      </c>
      <c r="G722" s="8">
        <v>4.8970000000000002</v>
      </c>
      <c r="H722" s="8"/>
    </row>
    <row r="723" spans="1:8" x14ac:dyDescent="0.35">
      <c r="A723" s="8">
        <v>719</v>
      </c>
      <c r="B723" s="11" t="s">
        <v>10</v>
      </c>
      <c r="C723" s="8">
        <v>0.8</v>
      </c>
      <c r="D723" s="8">
        <v>0.8</v>
      </c>
      <c r="E723" s="8">
        <v>5.4340000000000002</v>
      </c>
      <c r="F723" s="8">
        <v>44.112000000000002</v>
      </c>
      <c r="G723" s="8">
        <v>4.758</v>
      </c>
      <c r="H723" s="8"/>
    </row>
    <row r="724" spans="1:8" x14ac:dyDescent="0.35">
      <c r="A724" s="8">
        <v>720</v>
      </c>
      <c r="B724" s="11" t="s">
        <v>10</v>
      </c>
      <c r="C724" s="8">
        <v>0.8</v>
      </c>
      <c r="D724" s="8">
        <v>0.9</v>
      </c>
      <c r="E724" s="8">
        <v>5.3639999999999999</v>
      </c>
      <c r="F724" s="8">
        <v>42.654000000000003</v>
      </c>
      <c r="G724" s="8">
        <v>4.681</v>
      </c>
      <c r="H724" s="8"/>
    </row>
    <row r="725" spans="1:8" x14ac:dyDescent="0.35">
      <c r="A725" s="8">
        <v>721</v>
      </c>
      <c r="B725" s="11" t="s">
        <v>10</v>
      </c>
      <c r="C725" s="8">
        <v>0.9</v>
      </c>
      <c r="D725" s="8">
        <v>0.1</v>
      </c>
      <c r="E725" s="8">
        <v>5.2679999999999998</v>
      </c>
      <c r="F725" s="8">
        <v>46.235999999999997</v>
      </c>
      <c r="G725" s="8">
        <v>4.6859999999999999</v>
      </c>
      <c r="H725" s="8"/>
    </row>
    <row r="726" spans="1:8" x14ac:dyDescent="0.35">
      <c r="A726" s="8">
        <v>722</v>
      </c>
      <c r="B726" s="11" t="s">
        <v>10</v>
      </c>
      <c r="C726" s="8">
        <v>0.9</v>
      </c>
      <c r="D726" s="8">
        <v>0.2</v>
      </c>
      <c r="E726" s="8">
        <v>5.4640000000000004</v>
      </c>
      <c r="F726" s="8">
        <v>47.212000000000003</v>
      </c>
      <c r="G726" s="8">
        <v>4.8479999999999999</v>
      </c>
      <c r="H726" s="8"/>
    </row>
    <row r="727" spans="1:8" x14ac:dyDescent="0.35">
      <c r="A727" s="8">
        <v>723</v>
      </c>
      <c r="B727" s="11" t="s">
        <v>10</v>
      </c>
      <c r="C727" s="8">
        <v>0.9</v>
      </c>
      <c r="D727" s="8">
        <v>0.3</v>
      </c>
      <c r="E727" s="8">
        <v>5.5350000000000001</v>
      </c>
      <c r="F727" s="8">
        <v>47.399000000000001</v>
      </c>
      <c r="G727" s="8">
        <v>4.9029999999999996</v>
      </c>
      <c r="H727" s="8"/>
    </row>
    <row r="728" spans="1:8" x14ac:dyDescent="0.35">
      <c r="A728" s="8">
        <v>724</v>
      </c>
      <c r="B728" s="11" t="s">
        <v>10</v>
      </c>
      <c r="C728" s="8">
        <v>0.9</v>
      </c>
      <c r="D728" s="8">
        <v>0.4</v>
      </c>
      <c r="E728" s="8">
        <v>5.5860000000000003</v>
      </c>
      <c r="F728" s="8">
        <v>46.621000000000002</v>
      </c>
      <c r="G728" s="8">
        <v>4.9340000000000002</v>
      </c>
      <c r="H728" s="8"/>
    </row>
    <row r="729" spans="1:8" x14ac:dyDescent="0.35">
      <c r="A729" s="8">
        <v>725</v>
      </c>
      <c r="B729" s="11" t="s">
        <v>10</v>
      </c>
      <c r="C729" s="8">
        <v>0.9</v>
      </c>
      <c r="D729" s="8">
        <v>0.5</v>
      </c>
      <c r="E729" s="8">
        <v>5.5640000000000001</v>
      </c>
      <c r="F729" s="8">
        <v>45.235999999999997</v>
      </c>
      <c r="G729" s="8">
        <v>4.899</v>
      </c>
      <c r="H729" s="8"/>
    </row>
    <row r="730" spans="1:8" x14ac:dyDescent="0.35">
      <c r="A730" s="8">
        <v>726</v>
      </c>
      <c r="B730" s="11" t="s">
        <v>10</v>
      </c>
      <c r="C730" s="8">
        <v>0.9</v>
      </c>
      <c r="D730" s="8">
        <v>0.6</v>
      </c>
      <c r="E730" s="8">
        <v>5.4889999999999999</v>
      </c>
      <c r="F730" s="8">
        <v>43.756999999999998</v>
      </c>
      <c r="G730" s="8">
        <v>4.819</v>
      </c>
      <c r="H730" s="8"/>
    </row>
    <row r="731" spans="1:8" x14ac:dyDescent="0.35">
      <c r="A731" s="8">
        <v>727</v>
      </c>
      <c r="B731" s="11" t="s">
        <v>10</v>
      </c>
      <c r="C731" s="8">
        <v>0.9</v>
      </c>
      <c r="D731" s="8">
        <v>0.7</v>
      </c>
      <c r="E731" s="8">
        <v>5.3819999999999997</v>
      </c>
      <c r="F731" s="8">
        <v>42.576000000000001</v>
      </c>
      <c r="G731" s="8">
        <v>4.7140000000000004</v>
      </c>
      <c r="H731" s="8"/>
    </row>
    <row r="732" spans="1:8" x14ac:dyDescent="0.35">
      <c r="A732" s="8">
        <v>728</v>
      </c>
      <c r="B732" s="11" t="s">
        <v>10</v>
      </c>
      <c r="C732" s="8">
        <v>0.9</v>
      </c>
      <c r="D732" s="8">
        <v>0.8</v>
      </c>
      <c r="E732" s="8">
        <v>5.3520000000000003</v>
      </c>
      <c r="F732" s="8">
        <v>41.924999999999997</v>
      </c>
      <c r="G732" s="8">
        <v>4.6719999999999997</v>
      </c>
      <c r="H732" s="8"/>
    </row>
    <row r="733" spans="1:8" x14ac:dyDescent="0.35">
      <c r="A733" s="29">
        <v>729</v>
      </c>
      <c r="B733" s="30" t="s">
        <v>10</v>
      </c>
      <c r="C733" s="29">
        <v>0.9</v>
      </c>
      <c r="D733" s="29">
        <v>0.9</v>
      </c>
      <c r="E733" s="29">
        <v>5.3230000000000004</v>
      </c>
      <c r="F733" s="29">
        <v>41.920999999999999</v>
      </c>
      <c r="G733" s="29">
        <v>4.6340000000000003</v>
      </c>
      <c r="H733" s="29" t="s">
        <v>218</v>
      </c>
    </row>
  </sheetData>
  <autoFilter ref="A4:H733" xr:uid="{00000000-0009-0000-0000-000012000000}"/>
  <mergeCells count="2">
    <mergeCell ref="A1:G1"/>
    <mergeCell ref="A2:G2"/>
  </mergeCell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Data Mentah</vt:lpstr>
      <vt:lpstr>Tabel 4.1 Statistik Deskriptif</vt:lpstr>
      <vt:lpstr>Tabel 4.2 Data Identik</vt:lpstr>
      <vt:lpstr>Tabel 4.3 Pembagian Data</vt:lpstr>
      <vt:lpstr>DES_Afolat</vt:lpstr>
      <vt:lpstr>DES_Asam Mefenamat</vt:lpstr>
      <vt:lpstr>DES_Amoxicillin</vt:lpstr>
      <vt:lpstr>DES_Naturoksi</vt:lpstr>
      <vt:lpstr>DES_Gentamicin Injeksi</vt:lpstr>
      <vt:lpstr>DES_Tramadol Injeksi</vt:lpstr>
      <vt:lpstr>DES_Nazovel Suppositoria</vt:lpstr>
      <vt:lpstr>DES_Epexol Syrup</vt:lpstr>
      <vt:lpstr>DES_Apialys Syrup</vt:lpstr>
      <vt:lpstr>Tabel 4.6 Parameter Terbaik</vt:lpstr>
      <vt:lpstr>Tabel 4.7 Obat Data Identik</vt:lpstr>
      <vt:lpstr>Tabel 4.8 Prediksi Periode 106</vt:lpstr>
      <vt:lpstr>Grid Afolat 81 Kombinasi</vt:lpstr>
      <vt:lpstr>Grid 729 Semua Obat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Rafly Mumtaz</cp:lastModifiedBy>
  <cp:revision>0</cp:revision>
  <dcterms:created xsi:type="dcterms:W3CDTF">2026-08-07T01:14:15Z</dcterms:created>
  <dcterms:modified xsi:type="dcterms:W3CDTF">2026-08-07T01:18:23Z</dcterms:modified>
  <dc:language>en-US</dc:language>
</cp:coreProperties>
</file>